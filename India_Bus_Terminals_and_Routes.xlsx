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s_Terminals" sheetId="2" state="visible" r:id="rId4"/>
    <sheet name="Cities" sheetId="3" state="visible" r:id="rId5"/>
    <sheet name="Bus_Routes" sheetId="4" state="visible" r:id="rId6"/>
    <sheet name="Interstate_Routes" sheetId="5" state="visible" r:id="rId7"/>
    <sheet name="Bus_Operators" sheetId="6" state="visible" r:id="rId8"/>
    <sheet name="Sources" sheetId="7" state="visible" r:id="rId9"/>
    <sheet name="State_Summary" sheetId="8" state="visible" r:id="rId10"/>
    <sheet name="Data_Qual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<sst xmlns="http://schemas.openxmlformats.org/spreadsheetml/2006/main" count="8501" uniqueCount="2983">
  <si>
    <t xml:space="preserve">India Bus Terminals &amp; Routes - working dataset (built 2026-10-02)</t>
  </si>
  <si>
    <t xml:space="preserve">STATUS: starter database, NOT a fully verified dataset. See Data_Quality.</t>
  </si>
  <si>
    <t xml:space="preserve">Verification_Status values: Verified = confirmed on an official source; Partially Verified = seen in a secondary source (news/aggregator/Wikipedia); Needs Verification = listed from general knowledge, no source retrieved.</t>
  </si>
  <si>
    <t xml:space="preserve">No coordinates, addresses or PIN codes are filled - none could be verified. Columns are present and validated for later import.</t>
  </si>
  <si>
    <t xml:space="preserve">Routes: only services actually found in cited sources are included (West Bengal and Bihar-linked). No routes were generated by pairing terminals.</t>
  </si>
  <si>
    <t xml:space="preserve">Lakshadweep: islands have no inter-city bus terminal records yet; cities only.</t>
  </si>
  <si>
    <t xml:space="preserve">Terminal_Type, Route_Type, Verification_Status and Y/N fields use dropdown validation.</t>
  </si>
  <si>
    <t xml:space="preserve">Terminal_ID</t>
  </si>
  <si>
    <t xml:space="preserve">Terminal_Name</t>
  </si>
  <si>
    <t xml:space="preserve">Terminal_Type</t>
  </si>
  <si>
    <t xml:space="preserve">City</t>
  </si>
  <si>
    <t xml:space="preserve">District</t>
  </si>
  <si>
    <t xml:space="preserve">State</t>
  </si>
  <si>
    <t xml:space="preserve">Union_Territory</t>
  </si>
  <si>
    <t xml:space="preserve">Country</t>
  </si>
  <si>
    <t xml:space="preserve">Full_Address</t>
  </si>
  <si>
    <t xml:space="preserve">Latitude</t>
  </si>
  <si>
    <t xml:space="preserve">Longitude</t>
  </si>
  <si>
    <t xml:space="preserve">PIN_Code</t>
  </si>
  <si>
    <t xml:space="preserve">Major_Terminal</t>
  </si>
  <si>
    <t xml:space="preserve">Intercity</t>
  </si>
  <si>
    <t xml:space="preserve">State_Transport</t>
  </si>
  <si>
    <t xml:space="preserve">Operators</t>
  </si>
  <si>
    <t xml:space="preserve">Alternate_Names</t>
  </si>
  <si>
    <t xml:space="preserve">Search_Keywords</t>
  </si>
  <si>
    <t xml:space="preserve">Source_URL</t>
  </si>
  <si>
    <t xml:space="preserve">Source_Name</t>
  </si>
  <si>
    <t xml:space="preserve">Verification_Status</t>
  </si>
  <si>
    <t xml:space="preserve">Last_Verified</t>
  </si>
  <si>
    <t xml:space="preserve">Notes</t>
  </si>
  <si>
    <t xml:space="preserve">WB-KOLKATA-ESPLANADEBUS-001</t>
  </si>
  <si>
    <t xml:space="preserve">Esplanade Bus Terminus</t>
  </si>
  <si>
    <t xml:space="preserve">Bus Terminal</t>
  </si>
  <si>
    <t xml:space="preserve">Kolkata</t>
  </si>
  <si>
    <t xml:space="preserve">West Bengal</t>
  </si>
  <si>
    <t xml:space="preserve">India</t>
  </si>
  <si>
    <t xml:space="preserve">Y</t>
  </si>
  <si>
    <t xml:space="preserve">West Bengal Transport Corporation</t>
  </si>
  <si>
    <t xml:space="preserve">Esplanade, Esplanade Bus Stand, Esplanade L-20 Terminus, Esplanade LDS Terminus, Dharmatala Bus Stand</t>
  </si>
  <si>
    <t xml:space="preserve">Kolkata, Esplanade Bus Terminus, Esplanade, Esplanade Bus Stand, Esplanade L-20 Terminus, Esplanade LDS Terminus, Dharmatala Bus Stand, Kolkata bus, Kolkata bus stand, bus terminal Kolkata, West Bengal</t>
  </si>
  <si>
    <t xml:space="preserve">https://housing.com/news/217-bus-route-kolkata-narayanpur-to-babughat; https://www.makemytrip.com/bus-tickets/wbtc-ctc-from-kolkata-to-bolpur-online-bus-tickets.html</t>
  </si>
  <si>
    <t xml:space="preserve">housing.com - 217 bus route Kolkata; MakeMyTrip - WBTC Kolkata to Bolpur</t>
  </si>
  <si>
    <t xml:space="preserve">Partially Verified</t>
  </si>
  <si>
    <t xml:space="preserve">Name/location from secondary source; official confirmation, address and coordinates pending. Multiple boarding labels seen (Esplanade Bus Stand, L-20, LDS) - treated as one site pending check; news mentions possible relocation.</t>
  </si>
  <si>
    <t xml:space="preserve">WB-KOLKATA-BABUGHATBUST-002</t>
  </si>
  <si>
    <t xml:space="preserve">Babughat Bus Terminus</t>
  </si>
  <si>
    <t xml:space="preserve">Babughat, Babughat Bus Stand</t>
  </si>
  <si>
    <t xml:space="preserve">Kolkata, Babughat Bus Terminus, Babughat, Babughat Bus Stand, Kolkata bus, Kolkata bus stand, bus terminal Kolkata, West Bengal</t>
  </si>
  <si>
    <t xml:space="preserve">https://housing.com/news/217-bus-route-kolkata-narayanpur-to-babughat; https://housing.com/news/205-bus-route-in-kolkata-bansdroni-to-babughat</t>
  </si>
  <si>
    <t xml:space="preserve">housing.com - 217 bus route Kolkata; housing.com - 205 bus route Kolkata</t>
  </si>
  <si>
    <t xml:space="preserve">Name/location from secondary source; official confirmation, address and coordinates pending.</t>
  </si>
  <si>
    <t xml:space="preserve">WB-KOLKATA-KARUNAMOYEEB-003</t>
  </si>
  <si>
    <t xml:space="preserve">Karunamoyee Bus Terminus</t>
  </si>
  <si>
    <t xml:space="preserve">Unknown</t>
  </si>
  <si>
    <t xml:space="preserve">Karunamoyee, Karunamoyee Bus Stand, Salt Lake Karunamoyee</t>
  </si>
  <si>
    <t xml:space="preserve">Kolkata, Karunamoyee Bus Terminus, Karunamoyee, Karunamoyee Bus Stand, Salt Lake Karunamoyee, Kolkata bus, Kolkata bus stand, bus terminal Kolkata, West Bengal</t>
  </si>
  <si>
    <t xml:space="preserve">Needs Verification</t>
  </si>
  <si>
    <t xml:space="preserve">Included from general knowledge of the transport network; no source retrieved yet. Name, exact location and coordinates need verification.</t>
  </si>
  <si>
    <t xml:space="preserve">WB-KOLKATA-SHAPOORJIBUS-004</t>
  </si>
  <si>
    <t xml:space="preserve">Shapoorji Bus Terminal</t>
  </si>
  <si>
    <t xml:space="preserve">N</t>
  </si>
  <si>
    <t xml:space="preserve">Shapoorji</t>
  </si>
  <si>
    <t xml:space="preserve">Kolkata, Shapoorji Bus Terminal, Shapoorji, Kolkata bus, Kolkata bus stand, bus terminal Kolkata, West Bengal</t>
  </si>
  <si>
    <t xml:space="preserve">https://housing.com/news/ac-12-bus-route-kolkata-shapoorji-to-howrah/</t>
  </si>
  <si>
    <t xml:space="preserve">housing.com - AC12 bus route Kolkata</t>
  </si>
  <si>
    <t xml:space="preserve">WB-KOLKATA-NARAYANPURBU-005</t>
  </si>
  <si>
    <t xml:space="preserve">Narayanpur Bus Terminal</t>
  </si>
  <si>
    <t xml:space="preserve">Narayanpur</t>
  </si>
  <si>
    <t xml:space="preserve">Kolkata, Narayanpur Bus Terminal, Narayanpur, Kolkata bus, Kolkata bus stand, bus terminal Kolkata, West Bengal</t>
  </si>
  <si>
    <t xml:space="preserve">https://housing.com/news/217-bus-route-kolkata-narayanpur-to-babughat</t>
  </si>
  <si>
    <t xml:space="preserve">housing.com - 217 bus route Kolkata</t>
  </si>
  <si>
    <t xml:space="preserve">WB-KOLKATA-BANSDRONIBUS-006</t>
  </si>
  <si>
    <t xml:space="preserve">Bansdroni Bus Terminal</t>
  </si>
  <si>
    <t xml:space="preserve">Bansdroni</t>
  </si>
  <si>
    <t xml:space="preserve">Kolkata, Bansdroni Bus Terminal, Bansdroni, Kolkata bus, Kolkata bus stand, bus terminal Kolkata, West Bengal</t>
  </si>
  <si>
    <t xml:space="preserve">https://housing.com/news/205-bus-route-in-kolkata-bansdroni-to-babughat</t>
  </si>
  <si>
    <t xml:space="preserve">housing.com - 205 bus route Kolkata</t>
  </si>
  <si>
    <t xml:space="preserve">WB-KOLKATA-GARIABUSTERM-007</t>
  </si>
  <si>
    <t xml:space="preserve">Garia Bus Terminus</t>
  </si>
  <si>
    <t xml:space="preserve">Garia</t>
  </si>
  <si>
    <t xml:space="preserve">Kolkata, Garia Bus Terminus, Garia, Kolkata bus, Kolkata bus stand, bus terminal Kolkata, West Bengal</t>
  </si>
  <si>
    <t xml:space="preserve">WB-KOLKATA-RAJARHATBUST-008</t>
  </si>
  <si>
    <t xml:space="preserve">Rajarhat Bus Terminus</t>
  </si>
  <si>
    <t xml:space="preserve">Newtown, Rajarhat</t>
  </si>
  <si>
    <t xml:space="preserve">Kolkata, Rajarhat Bus Terminus, Newtown, Rajarhat, Kolkata bus, Kolkata bus stand, bus terminal Kolkata, West Bengal</t>
  </si>
  <si>
    <t xml:space="preserve">WB-KOLKATA-HOWRAHBUSSTA-009</t>
  </si>
  <si>
    <t xml:space="preserve">Howrah Bus Stand</t>
  </si>
  <si>
    <t xml:space="preserve">Howrah Station Bus Stand, Howrah Bus Terminus</t>
  </si>
  <si>
    <t xml:space="preserve">Kolkata, Howrah Bus Stand, Howrah Station Bus Stand, Howrah Bus Terminus, Kolkata bus, Kolkata bus stand, bus terminal Kolkata, West Bengal</t>
  </si>
  <si>
    <t xml:space="preserve">Name/location from secondary source; official confirmation, address and coordinates pending. Source lists Howrah as a stop on AC12; exact terminal name unconfirmed.</t>
  </si>
  <si>
    <t xml:space="preserve">WB-HOWRAH-SANTRAGACHIB-010</t>
  </si>
  <si>
    <t xml:space="preserve">Santragachi Bus Terminus</t>
  </si>
  <si>
    <t xml:space="preserve">Howrah</t>
  </si>
  <si>
    <t xml:space="preserve">Santragachi</t>
  </si>
  <si>
    <t xml:space="preserve">Howrah, Santragachi Bus Terminus, Santragachi, Howrah bus, Howrah bus stand, bus terminal Howrah, West Bengal</t>
  </si>
  <si>
    <t xml:space="preserve">https://obeta.ttef.in/topic/bus-terminus</t>
  </si>
  <si>
    <t xml:space="preserve">Telegraph (My Kolkata) - Bus Terminus topic page</t>
  </si>
  <si>
    <t xml:space="preserve">WB-HOWRAH-SHALIMARBUST-011</t>
  </si>
  <si>
    <t xml:space="preserve">Shalimar Bus Terminus</t>
  </si>
  <si>
    <t xml:space="preserve">Shalimar</t>
  </si>
  <si>
    <t xml:space="preserve">Howrah, Shalimar Bus Terminus, Shalimar, Howrah bus, Howrah bus stand, bus terminal Howrah, West Bengal</t>
  </si>
  <si>
    <t xml:space="preserve">WB-HOWRAH-DEPOTSBSTC-012</t>
  </si>
  <si>
    <t xml:space="preserve">Howrah Depot (SBSTC)</t>
  </si>
  <si>
    <t xml:space="preserve">Regional Bus Terminal</t>
  </si>
  <si>
    <t xml:space="preserve">South Bengal State Transport Corporation</t>
  </si>
  <si>
    <t xml:space="preserve">SBSTC Howrah Depot</t>
  </si>
  <si>
    <t xml:space="preserve">Howrah, Howrah Depot (SBSTC), SBSTC Howrah Depot, Howrah bus, Howrah bus stand, bus terminal Howrah, West Bengal</t>
  </si>
  <si>
    <t xml:space="preserve">https://www.makemytrip.com/bus-tickets/wbtc-ctc-from-kolkata-to-durgapur_west_bengal-online-bus-tickets.html</t>
  </si>
  <si>
    <t xml:space="preserve">MakeMyTrip - WBTC Kolkata to Durgapur</t>
  </si>
  <si>
    <t xml:space="preserve">WB-SILIGURI-TENZINGNORGA-013</t>
  </si>
  <si>
    <t xml:space="preserve">Tenzing Norgay Central Bus Terminus</t>
  </si>
  <si>
    <t xml:space="preserve">Central Bus Terminal</t>
  </si>
  <si>
    <t xml:space="preserve">Siliguri</t>
  </si>
  <si>
    <t xml:space="preserve">Siliguri Bus Terminus, Siliguri Bus Stand, Tenzing Norgay Bus Terminus</t>
  </si>
  <si>
    <t xml:space="preserve">Siliguri, Tenzing Norgay Central Bus Terminus, Siliguri Bus Terminus, Siliguri Bus Stand, Tenzing Norgay Bus Terminus, Siliguri bus, Siliguri bus stand, bus terminal Siliguri, West Bengal</t>
  </si>
  <si>
    <t xml:space="preserve">WB-JALPAIGU-BUSSTAND-014</t>
  </si>
  <si>
    <t xml:space="preserve">Jalpaiguri Bus Stand</t>
  </si>
  <si>
    <t xml:space="preserve">Bus Stand</t>
  </si>
  <si>
    <t xml:space="preserve">Jalpaiguri</t>
  </si>
  <si>
    <t xml:space="preserve">Jalpaiguri, Jalpaiguri Bus Stand, Jalpaiguri bus, Jalpaiguri bus stand, bus terminal Jalpaiguri, West Bengal</t>
  </si>
  <si>
    <t xml:space="preserve">WB-COOCHBEH-BUSSTAND-015</t>
  </si>
  <si>
    <t xml:space="preserve">Cooch Behar Bus Stand</t>
  </si>
  <si>
    <t xml:space="preserve">Cooch Behar</t>
  </si>
  <si>
    <t xml:space="preserve">Coochbehar Bus Stand, Cooch Behar NBSTC</t>
  </si>
  <si>
    <t xml:space="preserve">Cooch Behar, Cooch Behar Bus Stand, Coochbehar Bus Stand, Cooch Behar NBSTC, Cooch Behar bus, Cooch Behar bus stand, bus terminal Cooch Behar, West Bengal</t>
  </si>
  <si>
    <t xml:space="preserve">WB-ALIPURDU-BUSSTAND-016</t>
  </si>
  <si>
    <t xml:space="preserve">Alipurduar Bus Stand</t>
  </si>
  <si>
    <t xml:space="preserve">Alipurduar</t>
  </si>
  <si>
    <t xml:space="preserve">Alipurduar, Alipurduar Bus Stand, Alipurduar bus, Alipurduar bus stand, bus terminal Alipurduar, West Bengal</t>
  </si>
  <si>
    <t xml:space="preserve">WB-MALDA-BUSSTAND-017</t>
  </si>
  <si>
    <t xml:space="preserve">Malda Bus Stand</t>
  </si>
  <si>
    <t xml:space="preserve">Malda</t>
  </si>
  <si>
    <t xml:space="preserve">English Bazar Bus Stand, Malda Town Bus Stand</t>
  </si>
  <si>
    <t xml:space="preserve">Malda, Malda Bus Stand, English Bazar Bus Stand, Malda Town Bus Stand, Malda bus, Malda bus stand, bus terminal Malda, West Bengal</t>
  </si>
  <si>
    <t xml:space="preserve">WB-RAIGANJ-BUSSTAND-018</t>
  </si>
  <si>
    <t xml:space="preserve">Raiganj Bus Stand</t>
  </si>
  <si>
    <t xml:space="preserve">Raiganj</t>
  </si>
  <si>
    <t xml:space="preserve">Raiganj Bus Terminus</t>
  </si>
  <si>
    <t xml:space="preserve">Raiganj, Raiganj Bus Stand, Raiganj Bus Terminus, Raiganj bus, Raiganj bus stand, bus terminal Raiganj, West Bengal</t>
  </si>
  <si>
    <t xml:space="preserve">WB-BALURGHA-BUSSTAND-019</t>
  </si>
  <si>
    <t xml:space="preserve">Balurghat Bus Stand</t>
  </si>
  <si>
    <t xml:space="preserve">Balurghat</t>
  </si>
  <si>
    <t xml:space="preserve">Balurghat, Balurghat Bus Stand, Balurghat bus, Balurghat bus stand, bus terminal Balurghat, West Bengal</t>
  </si>
  <si>
    <t xml:space="preserve">WB-DARJEELI-BUSSTAND-020</t>
  </si>
  <si>
    <t xml:space="preserve">Darjeeling Bus Stand</t>
  </si>
  <si>
    <t xml:space="preserve">Darjeeling</t>
  </si>
  <si>
    <t xml:space="preserve">Darjeeling Motor Stand</t>
  </si>
  <si>
    <t xml:space="preserve">Darjeeling, Darjeeling Bus Stand, Darjeeling Motor Stand, Darjeeling bus, Darjeeling bus stand, bus terminal Darjeeling, West Bengal</t>
  </si>
  <si>
    <t xml:space="preserve">WB-KALIMPON-BUSSTAND-021</t>
  </si>
  <si>
    <t xml:space="preserve">Kalimpong Bus Stand</t>
  </si>
  <si>
    <t xml:space="preserve">Kalimpong</t>
  </si>
  <si>
    <t xml:space="preserve">Kalimpong Motor Stand</t>
  </si>
  <si>
    <t xml:space="preserve">Kalimpong, Kalimpong Bus Stand, Kalimpong Motor Stand, Kalimpong bus, Kalimpong bus stand, bus terminal Kalimpong, West Bengal</t>
  </si>
  <si>
    <t xml:space="preserve">WB-DURGAPUR-BUSSTAND-022</t>
  </si>
  <si>
    <t xml:space="preserve">Durgapur Bus Stand</t>
  </si>
  <si>
    <t xml:space="preserve">Durgapur</t>
  </si>
  <si>
    <t xml:space="preserve">Durgapur Bus Terminus, City Centre Durgapur Bus Stand</t>
  </si>
  <si>
    <t xml:space="preserve">Durgapur, Durgapur Bus Stand, Durgapur Bus Terminus, City Centre Durgapur Bus Stand, Durgapur bus, Durgapur bus stand, bus terminal Durgapur, West Bengal</t>
  </si>
  <si>
    <t xml:space="preserve">WB-ASANSOL-BUSSTAND-023</t>
  </si>
  <si>
    <t xml:space="preserve">Asansol Bus Stand</t>
  </si>
  <si>
    <t xml:space="preserve">Asansol</t>
  </si>
  <si>
    <t xml:space="preserve">Asansol Bus Terminus</t>
  </si>
  <si>
    <t xml:space="preserve">Asansol, Asansol Bus Stand, Asansol Bus Terminus, Asansol bus, Asansol bus stand, bus terminal Asansol, West Bengal</t>
  </si>
  <si>
    <t xml:space="preserve">WB-RANIGANJ-BUSSTAND-024</t>
  </si>
  <si>
    <t xml:space="preserve">Raniganj Bus Stand</t>
  </si>
  <si>
    <t xml:space="preserve">Raniganj</t>
  </si>
  <si>
    <t xml:space="preserve">Raniganj, Raniganj Bus Stand, Raniganj bus, Raniganj bus stand, bus terminal Raniganj, West Bengal</t>
  </si>
  <si>
    <t xml:space="preserve">WB-BARDHAMA-BUSSTAND-025</t>
  </si>
  <si>
    <t xml:space="preserve">Bardhaman Bus Stand</t>
  </si>
  <si>
    <t xml:space="preserve">Bardhaman</t>
  </si>
  <si>
    <t xml:space="preserve">Burdwan Bus Stand</t>
  </si>
  <si>
    <t xml:space="preserve">Bardhaman, Bardhaman Bus Stand, Burdwan Bus Stand, Bardhaman bus, Bardhaman bus stand, bus terminal Bardhaman, West Bengal</t>
  </si>
  <si>
    <t xml:space="preserve">WB-BOLPUR-BUSSTAND-026</t>
  </si>
  <si>
    <t xml:space="preserve">Bolpur Bus Stand</t>
  </si>
  <si>
    <t xml:space="preserve">Bolpur</t>
  </si>
  <si>
    <t xml:space="preserve">Santiniketan Bus Stand</t>
  </si>
  <si>
    <t xml:space="preserve">Bolpur, Bolpur Bus Stand, Santiniketan Bus Stand, Bolpur bus, Bolpur bus stand, bus terminal Bolpur, West Bengal</t>
  </si>
  <si>
    <t xml:space="preserve">WB-SURI-BUSSTAND-027</t>
  </si>
  <si>
    <t xml:space="preserve">Suri Bus Stand</t>
  </si>
  <si>
    <t xml:space="preserve">Suri</t>
  </si>
  <si>
    <t xml:space="preserve">Suri, Suri Bus Stand, Suri bus, Suri bus stand, bus terminal Suri, West Bengal</t>
  </si>
  <si>
    <t xml:space="preserve">WB-RAMPURHA-BUSSTAND-028</t>
  </si>
  <si>
    <t xml:space="preserve">Rampurhat Bus Stand</t>
  </si>
  <si>
    <t xml:space="preserve">Rampurhat</t>
  </si>
  <si>
    <t xml:space="preserve">Rampurhat, Rampurhat Bus Stand, Rampurhat bus, Rampurhat bus stand, bus terminal Rampurhat, West Bengal</t>
  </si>
  <si>
    <t xml:space="preserve">WB-KHARAGPU-BUSSTAND-029</t>
  </si>
  <si>
    <t xml:space="preserve">Kharagpur Bus Stand</t>
  </si>
  <si>
    <t xml:space="preserve">Kharagpur</t>
  </si>
  <si>
    <t xml:space="preserve">Kharagpur, Kharagpur Bus Stand, Kharagpur bus, Kharagpur bus stand, bus terminal Kharagpur, West Bengal</t>
  </si>
  <si>
    <t xml:space="preserve">WB-MIDNAPOR-BUSSTAND-030</t>
  </si>
  <si>
    <t xml:space="preserve">Midnapore Bus Stand</t>
  </si>
  <si>
    <t xml:space="preserve">Midnapore</t>
  </si>
  <si>
    <t xml:space="preserve">Medinipur Bus Stand</t>
  </si>
  <si>
    <t xml:space="preserve">Midnapore, Midnapore Bus Stand, Medinipur Bus Stand, Midnapore bus, Midnapore bus stand, bus terminal Midnapore, West Bengal</t>
  </si>
  <si>
    <t xml:space="preserve">WB-JHARGRAM-BUSSTAND-031</t>
  </si>
  <si>
    <t xml:space="preserve">Jhargram Bus Stand</t>
  </si>
  <si>
    <t xml:space="preserve">Jhargram</t>
  </si>
  <si>
    <t xml:space="preserve">Jhargram, Jhargram Bus Stand, Jhargram bus, Jhargram bus stand, bus terminal Jhargram, West Bengal</t>
  </si>
  <si>
    <t xml:space="preserve">WB-BANKURA-BUSSTAND-032</t>
  </si>
  <si>
    <t xml:space="preserve">Bankura Bus Stand</t>
  </si>
  <si>
    <t xml:space="preserve">Bankura</t>
  </si>
  <si>
    <t xml:space="preserve">Bankura, Bankura Bus Stand, Bankura bus, Bankura bus stand, bus terminal Bankura, West Bengal</t>
  </si>
  <si>
    <t xml:space="preserve">WB-BISHNUPU-BUSSTAND-033</t>
  </si>
  <si>
    <t xml:space="preserve">Bishnupur Bus Stand</t>
  </si>
  <si>
    <t xml:space="preserve">Bishnupur</t>
  </si>
  <si>
    <t xml:space="preserve">Bishnupur, Bishnupur Bus Stand, Bishnupur bus, Bishnupur bus stand, bus terminal Bishnupur, West Bengal</t>
  </si>
  <si>
    <t xml:space="preserve">WB-PURULIA-BUSSTAND-034</t>
  </si>
  <si>
    <t xml:space="preserve">Purulia Bus Stand</t>
  </si>
  <si>
    <t xml:space="preserve">Purulia</t>
  </si>
  <si>
    <t xml:space="preserve">Purulia, Purulia Bus Stand, Purulia bus, Purulia bus stand, bus terminal Purulia, West Bengal</t>
  </si>
  <si>
    <t xml:space="preserve">WB-ARAMBAGH-BUSSTAND-035</t>
  </si>
  <si>
    <t xml:space="preserve">Arambagh Bus Stand</t>
  </si>
  <si>
    <t xml:space="preserve">Arambagh</t>
  </si>
  <si>
    <t xml:space="preserve">Arambag Bus Stand</t>
  </si>
  <si>
    <t xml:space="preserve">Arambagh, Arambagh Bus Stand, Arambag Bus Stand, Arambagh bus, Arambagh bus stand, bus terminal Arambagh, West Bengal</t>
  </si>
  <si>
    <t xml:space="preserve">WB-DIGHA-BUSSTAND-036</t>
  </si>
  <si>
    <t xml:space="preserve">Digha Bus Stand</t>
  </si>
  <si>
    <t xml:space="preserve">Digha</t>
  </si>
  <si>
    <t xml:space="preserve">New Digha Bus Stand</t>
  </si>
  <si>
    <t xml:space="preserve">Digha, Digha Bus Stand, New Digha Bus Stand, Digha bus, Digha bus stand, bus terminal Digha, West Bengal</t>
  </si>
  <si>
    <t xml:space="preserve">WB-HALDIA-BUSSTAND-037</t>
  </si>
  <si>
    <t xml:space="preserve">Haldia Bus Stand</t>
  </si>
  <si>
    <t xml:space="preserve">Haldia</t>
  </si>
  <si>
    <t xml:space="preserve">Haldia, Haldia Bus Stand, Haldia bus, Haldia bus stand, bus terminal Haldia, West Bengal</t>
  </si>
  <si>
    <t xml:space="preserve">WB-TAMLUK-BUSSTAND-038</t>
  </si>
  <si>
    <t xml:space="preserve">Tamluk Bus Stand</t>
  </si>
  <si>
    <t xml:space="preserve">Tamluk</t>
  </si>
  <si>
    <t xml:space="preserve">Tamluk, Tamluk Bus Stand, Tamluk bus, Tamluk bus stand, bus terminal Tamluk, West Bengal</t>
  </si>
  <si>
    <t xml:space="preserve">WB-BERHAMPO-BUSSTAND-039</t>
  </si>
  <si>
    <t xml:space="preserve">Berhampore Bus Stand</t>
  </si>
  <si>
    <t xml:space="preserve">Berhampore</t>
  </si>
  <si>
    <t xml:space="preserve">Baharampur Bus Stand</t>
  </si>
  <si>
    <t xml:space="preserve">Berhampore, Berhampore Bus Stand, Baharampur Bus Stand, Berhampore bus, Berhampore bus stand, bus terminal Berhampore, West Bengal</t>
  </si>
  <si>
    <t xml:space="preserve">WB-KRISHNAN-BUSSTAND-040</t>
  </si>
  <si>
    <t xml:space="preserve">Krishnanagar Bus Stand</t>
  </si>
  <si>
    <t xml:space="preserve">Krishnanagar</t>
  </si>
  <si>
    <t xml:space="preserve">Krishnanagar, Krishnanagar Bus Stand, Krishnanagar bus, Krishnanagar bus stand, bus terminal Krishnanagar, West Bengal</t>
  </si>
  <si>
    <t xml:space="preserve">WB-MAYAPUR-BUSSTAND-041</t>
  </si>
  <si>
    <t xml:space="preserve">Mayapur Bus Stand</t>
  </si>
  <si>
    <t xml:space="preserve">Mayapur</t>
  </si>
  <si>
    <t xml:space="preserve">ISKCON Mayapur Bus Stand</t>
  </si>
  <si>
    <t xml:space="preserve">Mayapur, Mayapur Bus Stand, ISKCON Mayapur Bus Stand, Mayapur bus, Mayapur bus stand, bus terminal Mayapur, West Bengal</t>
  </si>
  <si>
    <t xml:space="preserve">WB-BASIRHAT-BUSSTAND-042</t>
  </si>
  <si>
    <t xml:space="preserve">Basirhat Bus Stand</t>
  </si>
  <si>
    <t xml:space="preserve">Basirhat</t>
  </si>
  <si>
    <t xml:space="preserve">Basirhat, Basirhat Bus Stand, Basirhat bus, Basirhat bus stand, bus terminal Basirhat, West Bengal</t>
  </si>
  <si>
    <t xml:space="preserve">WB-BARASAT-BUSSTAND-043</t>
  </si>
  <si>
    <t xml:space="preserve">Barasat Bus Stand</t>
  </si>
  <si>
    <t xml:space="preserve">Barasat</t>
  </si>
  <si>
    <t xml:space="preserve">Barasat, Barasat Bus Stand, Barasat bus, Barasat bus stand, bus terminal Barasat, West Bengal</t>
  </si>
  <si>
    <t xml:space="preserve">WB-KALYANI-BUSSTAND-044</t>
  </si>
  <si>
    <t xml:space="preserve">Kalyani Bus Stand</t>
  </si>
  <si>
    <t xml:space="preserve">Kalyani</t>
  </si>
  <si>
    <t xml:space="preserve">Kalyani, Kalyani Bus Stand, Kalyani bus, Kalyani bus stand, bus terminal Kalyani, West Bengal</t>
  </si>
  <si>
    <t xml:space="preserve">WB-DHULIAN-BUSSTAND-045</t>
  </si>
  <si>
    <t xml:space="preserve">Dhulian Bus Stand</t>
  </si>
  <si>
    <t xml:space="preserve">Dhulian</t>
  </si>
  <si>
    <t xml:space="preserve">Dhulian, Dhulian Bus Stand, Dhulian bus, Dhulian bus stand, bus terminal Dhulian, West Bengal</t>
  </si>
  <si>
    <t xml:space="preserve">AP-VIJAYAWA-PANDITNEHRUB-001</t>
  </si>
  <si>
    <t xml:space="preserve">Pandit Nehru Bus Station</t>
  </si>
  <si>
    <t xml:space="preserve">Vijayawada</t>
  </si>
  <si>
    <t xml:space="preserve">Andhra Pradesh</t>
  </si>
  <si>
    <t xml:space="preserve">PNBS, Vijayawada Bus Stand</t>
  </si>
  <si>
    <t xml:space="preserve">Vijayawada, Pandit Nehru Bus Station, PNBS, Vijayawada Bus Stand, Vijayawada bus, Vijayawada bus stand, bus terminal Vijayawada, Andhra Pradesh</t>
  </si>
  <si>
    <t xml:space="preserve">AP-VISAKHAP-DWARAKABUSST-002</t>
  </si>
  <si>
    <t xml:space="preserve">Dwaraka Bus Station</t>
  </si>
  <si>
    <t xml:space="preserve">Visakhapatnam</t>
  </si>
  <si>
    <t xml:space="preserve">Visakhapatnam Bus Station, Vizag Bus Stand</t>
  </si>
  <si>
    <t xml:space="preserve">Visakhapatnam, Dwaraka Bus Station, Visakhapatnam Bus Station, Vizag Bus Stand, Visakhapatnam bus, Visakhapatnam bus stand, bus terminal Visakhapatnam, Andhra Pradesh</t>
  </si>
  <si>
    <t xml:space="preserve">AP-GUNTUR-BUSSTATION-003</t>
  </si>
  <si>
    <t xml:space="preserve">Guntur Bus Station</t>
  </si>
  <si>
    <t xml:space="preserve">Guntur</t>
  </si>
  <si>
    <t xml:space="preserve">Guntur, Guntur Bus Station, Guntur bus, Guntur bus stand, bus terminal Guntur, Andhra Pradesh</t>
  </si>
  <si>
    <t xml:space="preserve">AP-TIRUPATI-CENTRALBUSST-004</t>
  </si>
  <si>
    <t xml:space="preserve">Tirupati Central Bus Station</t>
  </si>
  <si>
    <t xml:space="preserve">Tirupati</t>
  </si>
  <si>
    <t xml:space="preserve">Tirupati Bus Stand</t>
  </si>
  <si>
    <t xml:space="preserve">Tirupati, Tirupati Central Bus Station, Tirupati Bus Stand, Tirupati bus, Tirupati bus stand, bus terminal Tirupati, Andhra Pradesh</t>
  </si>
  <si>
    <t xml:space="preserve">AP-TIRUMALA-BUSSTATION-005</t>
  </si>
  <si>
    <t xml:space="preserve">Tirumala Bus Station</t>
  </si>
  <si>
    <t xml:space="preserve">Tirumala</t>
  </si>
  <si>
    <t xml:space="preserve">Tirumala, Tirumala Bus Station, Tirumala bus, Tirumala bus stand, bus terminal Tirumala, Andhra Pradesh</t>
  </si>
  <si>
    <t xml:space="preserve">AP-RAJAHMUN-BUSSTATION-006</t>
  </si>
  <si>
    <t xml:space="preserve">Rajahmundry Bus Station</t>
  </si>
  <si>
    <t xml:space="preserve">Rajahmundry</t>
  </si>
  <si>
    <t xml:space="preserve">Rajahmundry, Rajahmundry Bus Station, Rajahmundry bus, Rajahmundry bus stand, bus terminal Rajahmundry, Andhra Pradesh</t>
  </si>
  <si>
    <t xml:space="preserve">AP-KAKINADA-BUSSTATION-007</t>
  </si>
  <si>
    <t xml:space="preserve">Kakinada Bus Station</t>
  </si>
  <si>
    <t xml:space="preserve">Kakinada</t>
  </si>
  <si>
    <t xml:space="preserve">Kakinada, Kakinada Bus Station, Kakinada bus, Kakinada bus stand, bus terminal Kakinada, Andhra Pradesh</t>
  </si>
  <si>
    <t xml:space="preserve">AP-NELLORE-BUSSTATION-008</t>
  </si>
  <si>
    <t xml:space="preserve">Nellore Bus Station</t>
  </si>
  <si>
    <t xml:space="preserve">Nellore</t>
  </si>
  <si>
    <t xml:space="preserve">Nellore, Nellore Bus Station, Nellore bus, Nellore bus stand, bus terminal Nellore, Andhra Pradesh</t>
  </si>
  <si>
    <t xml:space="preserve">AP-KURNOOL-BUSSTATION-009</t>
  </si>
  <si>
    <t xml:space="preserve">Kurnool Bus Station</t>
  </si>
  <si>
    <t xml:space="preserve">Kurnool</t>
  </si>
  <si>
    <t xml:space="preserve">Kurnool, Kurnool Bus Station, Kurnool bus, Kurnool bus stand, bus terminal Kurnool, Andhra Pradesh</t>
  </si>
  <si>
    <t xml:space="preserve">AP-KADAPA-BUSSTATION-010</t>
  </si>
  <si>
    <t xml:space="preserve">Kadapa Bus Station</t>
  </si>
  <si>
    <t xml:space="preserve">Kadapa</t>
  </si>
  <si>
    <t xml:space="preserve">Kadapa, Kadapa Bus Station, Kadapa bus, Kadapa bus stand, bus terminal Kadapa, Andhra Pradesh</t>
  </si>
  <si>
    <t xml:space="preserve">AP-ANANTAPU-BUSSTATION-011</t>
  </si>
  <si>
    <t xml:space="preserve">Anantapur Bus Station</t>
  </si>
  <si>
    <t xml:space="preserve">Anantapur</t>
  </si>
  <si>
    <t xml:space="preserve">Anantapur, Anantapur Bus Station, Anantapur bus, Anantapur bus stand, bus terminal Anantapur, Andhra Pradesh</t>
  </si>
  <si>
    <t xml:space="preserve">AP-ONGOLE-BUSSTATION-012</t>
  </si>
  <si>
    <t xml:space="preserve">Ongole Bus Station</t>
  </si>
  <si>
    <t xml:space="preserve">Ongole</t>
  </si>
  <si>
    <t xml:space="preserve">Ongole, Ongole Bus Station, Ongole bus, Ongole bus stand, bus terminal Ongole, Andhra Pradesh</t>
  </si>
  <si>
    <t xml:space="preserve">AP-VIZIANAG-BUSSTATION-013</t>
  </si>
  <si>
    <t xml:space="preserve">Vizianagaram Bus Station</t>
  </si>
  <si>
    <t xml:space="preserve">Vizianagaram</t>
  </si>
  <si>
    <t xml:space="preserve">Vizianagaram, Vizianagaram Bus Station, Vizianagaram bus, Vizianagaram bus stand, bus terminal Vizianagaram, Andhra Pradesh</t>
  </si>
  <si>
    <t xml:space="preserve">AP-MACHILIP-BUSSTATION-014</t>
  </si>
  <si>
    <t xml:space="preserve">Machilipatnam Bus Station</t>
  </si>
  <si>
    <t xml:space="preserve">Machilipatnam</t>
  </si>
  <si>
    <t xml:space="preserve">Machilipatnam, Machilipatnam Bus Station, Machilipatnam bus, Machilipatnam bus stand, bus terminal Machilipatnam, Andhra Pradesh</t>
  </si>
  <si>
    <t xml:space="preserve">AR-ITANAGAR-ISBT-001</t>
  </si>
  <si>
    <t xml:space="preserve">Itanagar ISBT</t>
  </si>
  <si>
    <t xml:space="preserve">ISBT</t>
  </si>
  <si>
    <t xml:space="preserve">Itanagar</t>
  </si>
  <si>
    <t xml:space="preserve">Arunachal Pradesh</t>
  </si>
  <si>
    <t xml:space="preserve">Itanagar Bus Terminal</t>
  </si>
  <si>
    <t xml:space="preserve">Itanagar, Itanagar ISBT, Itanagar Bus Terminal, Itanagar bus, Itanagar bus stand, bus terminal Itanagar, Arunachal Pradesh</t>
  </si>
  <si>
    <t xml:space="preserve">AR-NAHARLAG-BUSSTAND-002</t>
  </si>
  <si>
    <t xml:space="preserve">Naharlagun Bus Stand</t>
  </si>
  <si>
    <t xml:space="preserve">Naharlagun</t>
  </si>
  <si>
    <t xml:space="preserve">Naharlagun, Naharlagun Bus Stand, Naharlagun bus, Naharlagun bus stand, bus terminal Naharlagun, Arunachal Pradesh</t>
  </si>
  <si>
    <t xml:space="preserve">AR-PASIGHAT-BUSSTAND-003</t>
  </si>
  <si>
    <t xml:space="preserve">Pasighat Bus Stand</t>
  </si>
  <si>
    <t xml:space="preserve">Pasighat</t>
  </si>
  <si>
    <t xml:space="preserve">Pasighat, Pasighat Bus Stand, Pasighat bus, Pasighat bus stand, bus terminal Pasighat, Arunachal Pradesh</t>
  </si>
  <si>
    <t xml:space="preserve">AR-TAWANG-BUSSTAND-004</t>
  </si>
  <si>
    <t xml:space="preserve">Tawang Bus Stand</t>
  </si>
  <si>
    <t xml:space="preserve">Tawang</t>
  </si>
  <si>
    <t xml:space="preserve">Tawang, Tawang Bus Stand, Tawang bus, Tawang bus stand, bus terminal Tawang, Arunachal Pradesh</t>
  </si>
  <si>
    <t xml:space="preserve">AR-BOMDILA-BUSSTAND-005</t>
  </si>
  <si>
    <t xml:space="preserve">Bomdila Bus Stand</t>
  </si>
  <si>
    <t xml:space="preserve">Bomdila</t>
  </si>
  <si>
    <t xml:space="preserve">Bomdila, Bomdila Bus Stand, Bomdila bus, Bomdila bus stand, bus terminal Bomdila, Arunachal Pradesh</t>
  </si>
  <si>
    <t xml:space="preserve">AR-ZIRO-BUSSTAND-006</t>
  </si>
  <si>
    <t xml:space="preserve">Ziro Bus Stand</t>
  </si>
  <si>
    <t xml:space="preserve">Ziro</t>
  </si>
  <si>
    <t xml:space="preserve">Ziro, Ziro Bus Stand, Ziro bus, Ziro bus stand, bus terminal Ziro, Arunachal Pradesh</t>
  </si>
  <si>
    <t xml:space="preserve">AR-ALONG-BUSSTAND-007</t>
  </si>
  <si>
    <t xml:space="preserve">Along Bus Stand</t>
  </si>
  <si>
    <t xml:space="preserve">Along</t>
  </si>
  <si>
    <t xml:space="preserve">Along, Along Bus Stand, Along bus, Along bus stand, bus terminal Along, Arunachal Pradesh</t>
  </si>
  <si>
    <t xml:space="preserve">AR-TEZU-BUSSTAND-008</t>
  </si>
  <si>
    <t xml:space="preserve">Tezu Bus Stand</t>
  </si>
  <si>
    <t xml:space="preserve">Tezu</t>
  </si>
  <si>
    <t xml:space="preserve">Tezu, Tezu Bus Stand, Tezu bus, Tezu bus stand, bus terminal Tezu, Arunachal Pradesh</t>
  </si>
  <si>
    <t xml:space="preserve">AS-GUWAHATI-ISBTJALUKBAR-001</t>
  </si>
  <si>
    <t xml:space="preserve">Guwahati ISBT Jalukbari</t>
  </si>
  <si>
    <t xml:space="preserve">Guwahati</t>
  </si>
  <si>
    <t xml:space="preserve">Assam</t>
  </si>
  <si>
    <t xml:space="preserve">ISBT Guwahati, Jalukbari Bus Terminal</t>
  </si>
  <si>
    <t xml:space="preserve">Guwahati, Guwahati ISBT Jalukbari, ISBT Guwahati, Jalukbari Bus Terminal, Guwahati bus, Guwahati bus stand, bus terminal Guwahati, Assam</t>
  </si>
  <si>
    <t xml:space="preserve">AS-GUWAHATI-PALTANBAZARB-002</t>
  </si>
  <si>
    <t xml:space="preserve">Paltan Bazar Bus Stand</t>
  </si>
  <si>
    <t xml:space="preserve">ASTC Paltan Bazar</t>
  </si>
  <si>
    <t xml:space="preserve">Guwahati, Paltan Bazar Bus Stand, ASTC Paltan Bazar, Guwahati bus, Guwahati bus stand, bus terminal Guwahati, Assam</t>
  </si>
  <si>
    <t xml:space="preserve">AS-GUWAHATI-ADABARIBUSTE-003</t>
  </si>
  <si>
    <t xml:space="preserve">Adabari Bus Terminal</t>
  </si>
  <si>
    <t xml:space="preserve">Adabari</t>
  </si>
  <si>
    <t xml:space="preserve">Guwahati, Adabari Bus Terminal, Adabari, Guwahati bus, Guwahati bus stand, bus terminal Guwahati, Assam</t>
  </si>
  <si>
    <t xml:space="preserve">AS-DIBRUGAR-BUSSTAND-004</t>
  </si>
  <si>
    <t xml:space="preserve">Dibrugarh Bus Stand</t>
  </si>
  <si>
    <t xml:space="preserve">Dibrugarh</t>
  </si>
  <si>
    <t xml:space="preserve">Dibrugarh, Dibrugarh Bus Stand, Dibrugarh bus, Dibrugarh bus stand, bus terminal Dibrugarh, Assam</t>
  </si>
  <si>
    <t xml:space="preserve">AS-JORHAT-BUSSTAND-005</t>
  </si>
  <si>
    <t xml:space="preserve">Jorhat Bus Stand</t>
  </si>
  <si>
    <t xml:space="preserve">Jorhat</t>
  </si>
  <si>
    <t xml:space="preserve">Jorhat, Jorhat Bus Stand, Jorhat bus, Jorhat bus stand, bus terminal Jorhat, Assam</t>
  </si>
  <si>
    <t xml:space="preserve">AS-SILCHAR-BUSSTAND-006</t>
  </si>
  <si>
    <t xml:space="preserve">Silchar Bus Stand</t>
  </si>
  <si>
    <t xml:space="preserve">Silchar</t>
  </si>
  <si>
    <t xml:space="preserve">Silchar, Silchar Bus Stand, Silchar bus, Silchar bus stand, bus terminal Silchar, Assam</t>
  </si>
  <si>
    <t xml:space="preserve">AS-TEZPUR-BUSSTAND-007</t>
  </si>
  <si>
    <t xml:space="preserve">Tezpur Bus Stand</t>
  </si>
  <si>
    <t xml:space="preserve">Tezpur</t>
  </si>
  <si>
    <t xml:space="preserve">Tezpur, Tezpur Bus Stand, Tezpur bus, Tezpur bus stand, bus terminal Tezpur, Assam</t>
  </si>
  <si>
    <t xml:space="preserve">AS-NAGAON-BUSSTAND-008</t>
  </si>
  <si>
    <t xml:space="preserve">Nagaon Bus Stand</t>
  </si>
  <si>
    <t xml:space="preserve">Nagaon</t>
  </si>
  <si>
    <t xml:space="preserve">Nagaon, Nagaon Bus Stand, Nagaon bus, Nagaon bus stand, bus terminal Nagaon, Assam</t>
  </si>
  <si>
    <t xml:space="preserve">AS-TINSUKIA-BUSSTAND-009</t>
  </si>
  <si>
    <t xml:space="preserve">Tinsukia Bus Stand</t>
  </si>
  <si>
    <t xml:space="preserve">Tinsukia</t>
  </si>
  <si>
    <t xml:space="preserve">Tinsukia, Tinsukia Bus Stand, Tinsukia bus, Tinsukia bus stand, bus terminal Tinsukia, Assam</t>
  </si>
  <si>
    <t xml:space="preserve">AS-BONGAIGA-BUSSTAND-010</t>
  </si>
  <si>
    <t xml:space="preserve">Bongaigaon Bus Stand</t>
  </si>
  <si>
    <t xml:space="preserve">Bongaigaon</t>
  </si>
  <si>
    <t xml:space="preserve">Bongaigaon, Bongaigaon Bus Stand, Bongaigaon bus, Bongaigaon bus stand, bus terminal Bongaigaon, Assam</t>
  </si>
  <si>
    <t xml:space="preserve">AS-DHUBRI-BUSSTAND-011</t>
  </si>
  <si>
    <t xml:space="preserve">Dhubri Bus Stand</t>
  </si>
  <si>
    <t xml:space="preserve">Dhubri</t>
  </si>
  <si>
    <t xml:space="preserve">Dhubri, Dhubri Bus Stand, Dhubri bus, Dhubri bus stand, bus terminal Dhubri, Assam</t>
  </si>
  <si>
    <t xml:space="preserve">AS-SIVASAGA-BUSSTAND-012</t>
  </si>
  <si>
    <t xml:space="preserve">Sivasagar Bus Stand</t>
  </si>
  <si>
    <t xml:space="preserve">Sivasagar</t>
  </si>
  <si>
    <t xml:space="preserve">Sivasagar, Sivasagar Bus Stand, Sivasagar bus, Sivasagar bus stand, bus terminal Sivasagar, Assam</t>
  </si>
  <si>
    <t xml:space="preserve">AS-NORTHLAK-BUSSTAND-013</t>
  </si>
  <si>
    <t xml:space="preserve">North Lakhimpur Bus Stand</t>
  </si>
  <si>
    <t xml:space="preserve">North Lakhimpur</t>
  </si>
  <si>
    <t xml:space="preserve">North Lakhimpur, North Lakhimpur Bus Stand, North Lakhimpur bus, North Lakhimpur bus stand, bus terminal North Lakhimpur, Assam</t>
  </si>
  <si>
    <t xml:space="preserve">AS-KOKRAJHA-BUSSTAND-014</t>
  </si>
  <si>
    <t xml:space="preserve">Kokrajhar Bus Stand</t>
  </si>
  <si>
    <t xml:space="preserve">Kokrajhar</t>
  </si>
  <si>
    <t xml:space="preserve">Kokrajhar, Kokrajhar Bus Stand, Kokrajhar bus, Kokrajhar bus stand, bus terminal Kokrajhar, Assam</t>
  </si>
  <si>
    <t xml:space="preserve">BR-PATNA-PATALIPUTRAB-001</t>
  </si>
  <si>
    <t xml:space="preserve">Pataliputra Bus Terminal</t>
  </si>
  <si>
    <t xml:space="preserve">Patna</t>
  </si>
  <si>
    <t xml:space="preserve">Bihar</t>
  </si>
  <si>
    <t xml:space="preserve">Bihar State Road Transport Corporation</t>
  </si>
  <si>
    <t xml:space="preserve">Patna ISBT, Pataliputra ISBT</t>
  </si>
  <si>
    <t xml:space="preserve">Patna, Pataliputra Bus Terminal, Patna ISBT, Pataliputra ISBT, Patna bus, Patna bus stand, bus terminal Patna, Bihar</t>
  </si>
  <si>
    <t xml:space="preserve">https://en.wikipedia.org/wiki/Bihar_State_Road_Transport_Corporation</t>
  </si>
  <si>
    <t xml:space="preserve">Wikipedia - Bihar State Road Transport Corporation</t>
  </si>
  <si>
    <t xml:space="preserve">BR-PATNA-MITHAPURBUSS-002</t>
  </si>
  <si>
    <t xml:space="preserve">Mithapur Bus Stand</t>
  </si>
  <si>
    <t xml:space="preserve">Mithapur</t>
  </si>
  <si>
    <t xml:space="preserve">Patna, Mithapur Bus Stand, Mithapur, Patna bus, Patna bus stand, bus terminal Patna, Bihar</t>
  </si>
  <si>
    <t xml:space="preserve">BR-PATNA-BAIRIYABUSTE-003</t>
  </si>
  <si>
    <t xml:space="preserve">Bairiya Bus Terminal</t>
  </si>
  <si>
    <t xml:space="preserve">Bairiya Bus Stand</t>
  </si>
  <si>
    <t xml:space="preserve">Patna, Bairiya Bus Terminal, Bairiya Bus Stand, Patna bus, Patna bus stand, bus terminal Patna, Bihar</t>
  </si>
  <si>
    <t xml:space="preserve">BR-GAYA-BUSSTAND-004</t>
  </si>
  <si>
    <t xml:space="preserve">Gaya Bus Stand</t>
  </si>
  <si>
    <t xml:space="preserve">Gaya</t>
  </si>
  <si>
    <t xml:space="preserve">Gayaji Bus Stand</t>
  </si>
  <si>
    <t xml:space="preserve">Gaya, Gaya Bus Stand, Gayaji Bus Stand, Gaya bus, Gaya bus stand, bus terminal Gaya, Bihar</t>
  </si>
  <si>
    <t xml:space="preserve">BR-MUZAFFAR-BUSSTAND-005</t>
  </si>
  <si>
    <t xml:space="preserve">Muzaffarpur Bus Stand</t>
  </si>
  <si>
    <t xml:space="preserve">Muzaffarpur</t>
  </si>
  <si>
    <t xml:space="preserve">Muzaffarpur, Muzaffarpur Bus Stand, Muzaffarpur bus, Muzaffarpur bus stand, bus terminal Muzaffarpur, Bihar</t>
  </si>
  <si>
    <t xml:space="preserve">BR-BHAGALPU-BUSSTAND-006</t>
  </si>
  <si>
    <t xml:space="preserve">Bhagalpur Bus Stand</t>
  </si>
  <si>
    <t xml:space="preserve">Bhagalpur</t>
  </si>
  <si>
    <t xml:space="preserve">Bhagalpur, Bhagalpur Bus Stand, Bhagalpur bus, Bhagalpur bus stand, bus terminal Bhagalpur, Bihar</t>
  </si>
  <si>
    <t xml:space="preserve">BR-DARBHANG-BUSSTAND-007</t>
  </si>
  <si>
    <t xml:space="preserve">Darbhanga Bus Stand</t>
  </si>
  <si>
    <t xml:space="preserve">Darbhanga</t>
  </si>
  <si>
    <t xml:space="preserve">Darbhanga, Darbhanga Bus Stand, Darbhanga bus, Darbhanga bus stand, bus terminal Darbhanga, Bihar</t>
  </si>
  <si>
    <t xml:space="preserve">BR-PURNIA-BUSSTAND-008</t>
  </si>
  <si>
    <t xml:space="preserve">Purnia Bus Stand</t>
  </si>
  <si>
    <t xml:space="preserve">Purnia</t>
  </si>
  <si>
    <t xml:space="preserve">Purnia, Purnia Bus Stand, Purnia bus, Purnia bus stand, bus terminal Purnia, Bihar</t>
  </si>
  <si>
    <t xml:space="preserve">BR-KISHANGA-BUSSTAND-009</t>
  </si>
  <si>
    <t xml:space="preserve">Kishanganj Bus Stand</t>
  </si>
  <si>
    <t xml:space="preserve">Kishanganj</t>
  </si>
  <si>
    <t xml:space="preserve">Kishanganj, Kishanganj Bus Stand, Kishanganj bus, Kishanganj bus stand, bus terminal Kishanganj, Bihar</t>
  </si>
  <si>
    <t xml:space="preserve">BR-ARRAH-BUSSTAND-010</t>
  </si>
  <si>
    <t xml:space="preserve">Arrah Bus Stand</t>
  </si>
  <si>
    <t xml:space="preserve">Arrah</t>
  </si>
  <si>
    <t xml:space="preserve">Arrah, Arrah Bus Stand, Arrah bus, Arrah bus stand, bus terminal Arrah, Bihar</t>
  </si>
  <si>
    <t xml:space="preserve">BR-CHHAPRA-BUSSTAND-011</t>
  </si>
  <si>
    <t xml:space="preserve">Chhapra Bus Stand</t>
  </si>
  <si>
    <t xml:space="preserve">Chhapra</t>
  </si>
  <si>
    <t xml:space="preserve">Chhapra, Chhapra Bus Stand, Chhapra bus, Chhapra bus stand, bus terminal Chhapra, Bihar</t>
  </si>
  <si>
    <t xml:space="preserve">BR-SASARAM-BUSSTAND-012</t>
  </si>
  <si>
    <t xml:space="preserve">Sasaram Bus Stand</t>
  </si>
  <si>
    <t xml:space="preserve">Sasaram</t>
  </si>
  <si>
    <t xml:space="preserve">Sasaram, Sasaram Bus Stand, Sasaram bus, Sasaram bus stand, bus terminal Sasaram, Bihar</t>
  </si>
  <si>
    <t xml:space="preserve">BR-BEGUSARA-BUSSTAND-013</t>
  </si>
  <si>
    <t xml:space="preserve">Begusarai Bus Stand</t>
  </si>
  <si>
    <t xml:space="preserve">Begusarai</t>
  </si>
  <si>
    <t xml:space="preserve">Begusarai, Begusarai Bus Stand, Begusarai bus, Begusarai bus stand, bus terminal Begusarai, Bihar</t>
  </si>
  <si>
    <t xml:space="preserve">BR-SAMASTIP-BUSSTAND-014</t>
  </si>
  <si>
    <t xml:space="preserve">Samastipur Bus Stand</t>
  </si>
  <si>
    <t xml:space="preserve">Samastipur</t>
  </si>
  <si>
    <t xml:space="preserve">Samastipur, Samastipur Bus Stand, Samastipur bus, Samastipur bus stand, bus terminal Samastipur, Bihar</t>
  </si>
  <si>
    <t xml:space="preserve">BR-MOTIHARI-BUSSTAND-015</t>
  </si>
  <si>
    <t xml:space="preserve">Motihari Bus Stand</t>
  </si>
  <si>
    <t xml:space="preserve">Motihari</t>
  </si>
  <si>
    <t xml:space="preserve">Motihari, Motihari Bus Stand, Motihari bus, Motihari bus stand, bus terminal Motihari, Bihar</t>
  </si>
  <si>
    <t xml:space="preserve">BR-BETTIAH-BUSSTAND-016</t>
  </si>
  <si>
    <t xml:space="preserve">Bettiah Bus Stand</t>
  </si>
  <si>
    <t xml:space="preserve">Bettiah</t>
  </si>
  <si>
    <t xml:space="preserve">Bettiah, Bettiah Bus Stand, Bettiah bus, Bettiah bus stand, bus terminal Bettiah, Bihar</t>
  </si>
  <si>
    <t xml:space="preserve">BR-HAJIPUR-BUSSTAND-017</t>
  </si>
  <si>
    <t xml:space="preserve">Hajipur Bus Stand</t>
  </si>
  <si>
    <t xml:space="preserve">Hajipur</t>
  </si>
  <si>
    <t xml:space="preserve">Hajipur, Hajipur Bus Stand, Hajipur bus, Hajipur bus stand, bus terminal Hajipur, Bihar</t>
  </si>
  <si>
    <t xml:space="preserve">BR-SAHARSA-BUSSTAND-018</t>
  </si>
  <si>
    <t xml:space="preserve">Saharsa Bus Stand</t>
  </si>
  <si>
    <t xml:space="preserve">Saharsa</t>
  </si>
  <si>
    <t xml:space="preserve">Saharsa, Saharsa Bus Stand, Saharsa bus, Saharsa bus stand, bus terminal Saharsa, Bihar</t>
  </si>
  <si>
    <t xml:space="preserve">BR-KATIHAR-BUSSTAND-019</t>
  </si>
  <si>
    <t xml:space="preserve">Katihar Bus Stand</t>
  </si>
  <si>
    <t xml:space="preserve">Katihar</t>
  </si>
  <si>
    <t xml:space="preserve">Katihar, Katihar Bus Stand, Katihar bus, Katihar bus stand, bus terminal Katihar, Bihar</t>
  </si>
  <si>
    <t xml:space="preserve">CG-RAIPUR-ISBTBHATAGAO-001</t>
  </si>
  <si>
    <t xml:space="preserve">Raipur ISBT Bhatagaon</t>
  </si>
  <si>
    <t xml:space="preserve">Raipur</t>
  </si>
  <si>
    <t xml:space="preserve">Chhattisgarh</t>
  </si>
  <si>
    <t xml:space="preserve">Bhatagaon Bus Stand, Raipur New Bus Stand</t>
  </si>
  <si>
    <t xml:space="preserve">Raipur, Raipur ISBT Bhatagaon, Bhatagaon Bus Stand, Raipur New Bus Stand, Raipur bus, Raipur bus stand, bus terminal Raipur, Chhattisgarh</t>
  </si>
  <si>
    <t xml:space="preserve">CG-BILASPUR-NEWBUSSTAND-002</t>
  </si>
  <si>
    <t xml:space="preserve">Bilaspur New Bus Stand</t>
  </si>
  <si>
    <t xml:space="preserve">Bilaspur</t>
  </si>
  <si>
    <t xml:space="preserve">Bilaspur, Bilaspur New Bus Stand, Bilaspur bus, Bilaspur bus stand, bus terminal Bilaspur, Chhattisgarh</t>
  </si>
  <si>
    <t xml:space="preserve">CG-DURG-BUSSTAND-003</t>
  </si>
  <si>
    <t xml:space="preserve">Durg Bus Stand</t>
  </si>
  <si>
    <t xml:space="preserve">Durg</t>
  </si>
  <si>
    <t xml:space="preserve">Durg, Durg Bus Stand, Durg bus, Durg bus stand, bus terminal Durg, Chhattisgarh</t>
  </si>
  <si>
    <t xml:space="preserve">CG-BHILAI-BUSSTAND-004</t>
  </si>
  <si>
    <t xml:space="preserve">Bhilai Bus Stand</t>
  </si>
  <si>
    <t xml:space="preserve">Bhilai</t>
  </si>
  <si>
    <t xml:space="preserve">Bhilai, Bhilai Bus Stand, Bhilai bus, Bhilai bus stand, bus terminal Bhilai, Chhattisgarh</t>
  </si>
  <si>
    <t xml:space="preserve">CG-RAIGARH-BUSSTAND-005</t>
  </si>
  <si>
    <t xml:space="preserve">Raigarh Bus Stand</t>
  </si>
  <si>
    <t xml:space="preserve">Raigarh</t>
  </si>
  <si>
    <t xml:space="preserve">Raigarh, Raigarh Bus Stand, Raigarh bus, Raigarh bus stand, bus terminal Raigarh, Chhattisgarh</t>
  </si>
  <si>
    <t xml:space="preserve">CG-KORBA-BUSSTAND-006</t>
  </si>
  <si>
    <t xml:space="preserve">Korba Bus Stand</t>
  </si>
  <si>
    <t xml:space="preserve">Korba</t>
  </si>
  <si>
    <t xml:space="preserve">Korba, Korba Bus Stand, Korba bus, Korba bus stand, bus terminal Korba, Chhattisgarh</t>
  </si>
  <si>
    <t xml:space="preserve">CG-JAGDALPU-BUSSTAND-007</t>
  </si>
  <si>
    <t xml:space="preserve">Jagdalpur Bus Stand</t>
  </si>
  <si>
    <t xml:space="preserve">Jagdalpur</t>
  </si>
  <si>
    <t xml:space="preserve">Jagdalpur, Jagdalpur Bus Stand, Jagdalpur bus, Jagdalpur bus stand, bus terminal Jagdalpur, Chhattisgarh</t>
  </si>
  <si>
    <t xml:space="preserve">CG-AMBIKAPU-BUSSTAND-008</t>
  </si>
  <si>
    <t xml:space="preserve">Ambikapur Bus Stand</t>
  </si>
  <si>
    <t xml:space="preserve">Ambikapur</t>
  </si>
  <si>
    <t xml:space="preserve">Ambikapur, Ambikapur Bus Stand, Ambikapur bus, Ambikapur bus stand, bus terminal Ambikapur, Chhattisgarh</t>
  </si>
  <si>
    <t xml:space="preserve">CG-RAJNANDG-BUSSTAND-009</t>
  </si>
  <si>
    <t xml:space="preserve">Rajnandgaon Bus Stand</t>
  </si>
  <si>
    <t xml:space="preserve">Rajnandgaon</t>
  </si>
  <si>
    <t xml:space="preserve">Rajnandgaon, Rajnandgaon Bus Stand, Rajnandgaon bus, Rajnandgaon bus stand, bus terminal Rajnandgaon, Chhattisgarh</t>
  </si>
  <si>
    <t xml:space="preserve">CG-DHAMTARI-BUSSTAND-010</t>
  </si>
  <si>
    <t xml:space="preserve">Dhamtari Bus Stand</t>
  </si>
  <si>
    <t xml:space="preserve">Dhamtari</t>
  </si>
  <si>
    <t xml:space="preserve">Dhamtari, Dhamtari Bus Stand, Dhamtari bus, Dhamtari bus stand, bus terminal Dhamtari, Chhattisgarh</t>
  </si>
  <si>
    <t xml:space="preserve">GA-PANAJI-KADAMBABUSST-001</t>
  </si>
  <si>
    <t xml:space="preserve">Panaji Kadamba Bus Stand</t>
  </si>
  <si>
    <t xml:space="preserve">Panaji</t>
  </si>
  <si>
    <t xml:space="preserve">Goa</t>
  </si>
  <si>
    <t xml:space="preserve">Panjim Bus Stand, Kadamba Bus Stand Panaji</t>
  </si>
  <si>
    <t xml:space="preserve">Panaji, Panaji Kadamba Bus Stand, Panjim Bus Stand, Kadamba Bus Stand Panaji, Panaji bus, Panaji bus stand, bus terminal Panaji, Goa</t>
  </si>
  <si>
    <t xml:space="preserve">GA-MARGAO-KADAMBABUSST-002</t>
  </si>
  <si>
    <t xml:space="preserve">Margao Kadamba Bus Stand</t>
  </si>
  <si>
    <t xml:space="preserve">Margao</t>
  </si>
  <si>
    <t xml:space="preserve">Madgaon Bus Stand</t>
  </si>
  <si>
    <t xml:space="preserve">Margao, Margao Kadamba Bus Stand, Madgaon Bus Stand, Margao bus, Margao bus stand, bus terminal Margao, Goa</t>
  </si>
  <si>
    <t xml:space="preserve">GA-MAPUSA-KADAMBABUSST-003</t>
  </si>
  <si>
    <t xml:space="preserve">Mapusa Kadamba Bus Stand</t>
  </si>
  <si>
    <t xml:space="preserve">Mapusa</t>
  </si>
  <si>
    <t xml:space="preserve">Mapusa, Mapusa Kadamba Bus Stand, Mapusa bus, Mapusa bus stand, bus terminal Mapusa, Goa</t>
  </si>
  <si>
    <t xml:space="preserve">GA-VASCODAG-VASCOKADAMBA-004</t>
  </si>
  <si>
    <t xml:space="preserve">Vasco Kadamba Bus Stand</t>
  </si>
  <si>
    <t xml:space="preserve">Vasco da Gama</t>
  </si>
  <si>
    <t xml:space="preserve">Vasco Bus Stand</t>
  </si>
  <si>
    <t xml:space="preserve">Vasco da Gama, Vasco Kadamba Bus Stand, Vasco Bus Stand, Vasco da Gama bus, Vasco da Gama bus stand, bus terminal Vasco da Gama, Goa</t>
  </si>
  <si>
    <t xml:space="preserve">GA-PONDA-BUSSTAND-005</t>
  </si>
  <si>
    <t xml:space="preserve">Ponda Bus Stand</t>
  </si>
  <si>
    <t xml:space="preserve">Ponda</t>
  </si>
  <si>
    <t xml:space="preserve">Ponda, Ponda Bus Stand, Ponda bus, Ponda bus stand, bus terminal Ponda, Goa</t>
  </si>
  <si>
    <t xml:space="preserve">GA-CALANGUT-BUSSTAND-006</t>
  </si>
  <si>
    <t xml:space="preserve">Calangute Bus Stand</t>
  </si>
  <si>
    <t xml:space="preserve">Major Bus Stop</t>
  </si>
  <si>
    <t xml:space="preserve">Calangute</t>
  </si>
  <si>
    <t xml:space="preserve">Calangute, Calangute Bus Stand, Calangute bus, Calangute bus stand, bus terminal Calangute, Goa</t>
  </si>
  <si>
    <t xml:space="preserve">GA-CANACONA-BUSSTAND-007</t>
  </si>
  <si>
    <t xml:space="preserve">Canacona Bus Stand</t>
  </si>
  <si>
    <t xml:space="preserve">Canacona</t>
  </si>
  <si>
    <t xml:space="preserve">Chaudi Bus Stand</t>
  </si>
  <si>
    <t xml:space="preserve">Canacona, Canacona Bus Stand, Chaudi Bus Stand, Canacona bus, Canacona bus stand, bus terminal Canacona, Goa</t>
  </si>
  <si>
    <t xml:space="preserve">GJ-AHMEDABA-GEETAMANDIRB-001</t>
  </si>
  <si>
    <t xml:space="preserve">Geeta Mandir Bus Stand</t>
  </si>
  <si>
    <t xml:space="preserve">Ahmedabad</t>
  </si>
  <si>
    <t xml:space="preserve">Gujarat</t>
  </si>
  <si>
    <t xml:space="preserve">Ahmedabad Central Bus Station, Geeta Mandir ST Stand</t>
  </si>
  <si>
    <t xml:space="preserve">Ahmedabad, Geeta Mandir Bus Stand, Ahmedabad Central Bus Station, Geeta Mandir ST Stand, Ahmedabad bus, Ahmedabad bus stand, bus terminal Ahmedabad, Gujarat</t>
  </si>
  <si>
    <t xml:space="preserve">GJ-SURAT-CENTRALBUSST-002</t>
  </si>
  <si>
    <t xml:space="preserve">Surat Central Bus Station</t>
  </si>
  <si>
    <t xml:space="preserve">Surat</t>
  </si>
  <si>
    <t xml:space="preserve">Surat Bus Stand</t>
  </si>
  <si>
    <t xml:space="preserve">Surat, Surat Central Bus Station, Surat Bus Stand, Surat bus, Surat bus stand, bus terminal Surat, Gujarat</t>
  </si>
  <si>
    <t xml:space="preserve">GJ-VADODARA-CENTRALSTDEP-003</t>
  </si>
  <si>
    <t xml:space="preserve">Vadodara Central ST Depot</t>
  </si>
  <si>
    <t xml:space="preserve">Vadodara</t>
  </si>
  <si>
    <t xml:space="preserve">Baroda ST Stand, Vadodara Bus Stand</t>
  </si>
  <si>
    <t xml:space="preserve">Vadodara, Vadodara Central ST Depot, Baroda ST Stand, Vadodara Bus Stand, Vadodara bus, Vadodara bus stand, bus terminal Vadodara, Gujarat</t>
  </si>
  <si>
    <t xml:space="preserve">GJ-RAJKOT-BUSPORT-004</t>
  </si>
  <si>
    <t xml:space="preserve">Rajkot Bus Port</t>
  </si>
  <si>
    <t xml:space="preserve">Rajkot</t>
  </si>
  <si>
    <t xml:space="preserve">Rajkot New Bus Stand, Rajkot ST</t>
  </si>
  <si>
    <t xml:space="preserve">Rajkot, Rajkot Bus Port, Rajkot New Bus Stand, Rajkot ST, Rajkot bus, Rajkot bus stand, bus terminal Rajkot, Gujarat</t>
  </si>
  <si>
    <t xml:space="preserve">GJ-BHAVNAGA-BUSSTAND-005</t>
  </si>
  <si>
    <t xml:space="preserve">Bhavnagar Bus Stand</t>
  </si>
  <si>
    <t xml:space="preserve">Bhavnagar</t>
  </si>
  <si>
    <t xml:space="preserve">Bhavnagar, Bhavnagar Bus Stand, Bhavnagar bus, Bhavnagar bus stand, bus terminal Bhavnagar, Gujarat</t>
  </si>
  <si>
    <t xml:space="preserve">GJ-JAMNAGAR-BUSSTAND-006</t>
  </si>
  <si>
    <t xml:space="preserve">Jamnagar Bus Stand</t>
  </si>
  <si>
    <t xml:space="preserve">Jamnagar</t>
  </si>
  <si>
    <t xml:space="preserve">Jamnagar, Jamnagar Bus Stand, Jamnagar bus, Jamnagar bus stand, bus terminal Jamnagar, Gujarat</t>
  </si>
  <si>
    <t xml:space="preserve">GJ-JUNAGADH-BUSSTAND-007</t>
  </si>
  <si>
    <t xml:space="preserve">Junagadh Bus Stand</t>
  </si>
  <si>
    <t xml:space="preserve">Junagadh</t>
  </si>
  <si>
    <t xml:space="preserve">Junagadh, Junagadh Bus Stand, Junagadh bus, Junagadh bus stand, bus terminal Junagadh, Gujarat</t>
  </si>
  <si>
    <t xml:space="preserve">GJ-GANDHINA-BUSSTAND-008</t>
  </si>
  <si>
    <t xml:space="preserve">Gandhinagar Bus Stand</t>
  </si>
  <si>
    <t xml:space="preserve">Gandhinagar</t>
  </si>
  <si>
    <t xml:space="preserve">Gandhinagar, Gandhinagar Bus Stand, Gandhinagar bus, Gandhinagar bus stand, bus terminal Gandhinagar, Gujarat</t>
  </si>
  <si>
    <t xml:space="preserve">GJ-BHUJ-BUSSTAND-009</t>
  </si>
  <si>
    <t xml:space="preserve">Bhuj Bus Stand</t>
  </si>
  <si>
    <t xml:space="preserve">Bhuj</t>
  </si>
  <si>
    <t xml:space="preserve">Bhuj, Bhuj Bus Stand, Bhuj bus, Bhuj bus stand, bus terminal Bhuj, Gujarat</t>
  </si>
  <si>
    <t xml:space="preserve">GJ-ANAND-BUSSTAND-010</t>
  </si>
  <si>
    <t xml:space="preserve">Anand Bus Stand</t>
  </si>
  <si>
    <t xml:space="preserve">Anand</t>
  </si>
  <si>
    <t xml:space="preserve">Anand, Anand Bus Stand, Anand bus, Anand bus stand, bus terminal Anand, Gujarat</t>
  </si>
  <si>
    <t xml:space="preserve">GJ-MEHSANA-BUSSTAND-011</t>
  </si>
  <si>
    <t xml:space="preserve">Mehsana Bus Stand</t>
  </si>
  <si>
    <t xml:space="preserve">Mehsana</t>
  </si>
  <si>
    <t xml:space="preserve">Mehsana, Mehsana Bus Stand, Mehsana bus, Mehsana bus stand, bus terminal Mehsana, Gujarat</t>
  </si>
  <si>
    <t xml:space="preserve">GJ-PALANPUR-BUSSTAND-012</t>
  </si>
  <si>
    <t xml:space="preserve">Palanpur Bus Stand</t>
  </si>
  <si>
    <t xml:space="preserve">Palanpur</t>
  </si>
  <si>
    <t xml:space="preserve">Palanpur, Palanpur Bus Stand, Palanpur bus, Palanpur bus stand, bus terminal Palanpur, Gujarat</t>
  </si>
  <si>
    <t xml:space="preserve">GJ-PORBANDA-BUSSTAND-013</t>
  </si>
  <si>
    <t xml:space="preserve">Porbandar Bus Stand</t>
  </si>
  <si>
    <t xml:space="preserve">Porbandar</t>
  </si>
  <si>
    <t xml:space="preserve">Porbandar, Porbandar Bus Stand, Porbandar bus, Porbandar bus stand, bus terminal Porbandar, Gujarat</t>
  </si>
  <si>
    <t xml:space="preserve">GJ-DWARKA-BUSSTAND-014</t>
  </si>
  <si>
    <t xml:space="preserve">Dwarka Bus Stand</t>
  </si>
  <si>
    <t xml:space="preserve">Dwarka</t>
  </si>
  <si>
    <t xml:space="preserve">Dwarka, Dwarka Bus Stand, Dwarka bus, Dwarka bus stand, bus terminal Dwarka, Gujarat</t>
  </si>
  <si>
    <t xml:space="preserve">GJ-VERAVAL-BUSSTAND-015</t>
  </si>
  <si>
    <t xml:space="preserve">Veraval Bus Stand</t>
  </si>
  <si>
    <t xml:space="preserve">Veraval</t>
  </si>
  <si>
    <t xml:space="preserve">Somnath Bus Stand</t>
  </si>
  <si>
    <t xml:space="preserve">Veraval, Veraval Bus Stand, Somnath Bus Stand, Veraval bus, Veraval bus stand, bus terminal Veraval, Gujarat</t>
  </si>
  <si>
    <t xml:space="preserve">GJ-BHARUCH-BUSSTAND-016</t>
  </si>
  <si>
    <t xml:space="preserve">Bharuch Bus Stand</t>
  </si>
  <si>
    <t xml:space="preserve">Bharuch</t>
  </si>
  <si>
    <t xml:space="preserve">Bharuch, Bharuch Bus Stand, Bharuch bus, Bharuch bus stand, bus terminal Bharuch, Gujarat</t>
  </si>
  <si>
    <t xml:space="preserve">HR-GURUGRAM-BUSSTAND-001</t>
  </si>
  <si>
    <t xml:space="preserve">Gurugram Bus Stand</t>
  </si>
  <si>
    <t xml:space="preserve">Gurugram</t>
  </si>
  <si>
    <t xml:space="preserve">Haryana</t>
  </si>
  <si>
    <t xml:space="preserve">Gurgaon Bus Stand</t>
  </si>
  <si>
    <t xml:space="preserve">Gurugram, Gurugram Bus Stand, Gurgaon Bus Stand, Gurugram bus, Gurugram bus stand, bus terminal Gurugram, Haryana</t>
  </si>
  <si>
    <t xml:space="preserve">HR-FARIDABA-BUSSTAND-002</t>
  </si>
  <si>
    <t xml:space="preserve">Faridabad Bus Stand</t>
  </si>
  <si>
    <t xml:space="preserve">Faridabad</t>
  </si>
  <si>
    <t xml:space="preserve">Faridabad, Faridabad Bus Stand, Faridabad bus, Faridabad bus stand, bus terminal Faridabad, Haryana</t>
  </si>
  <si>
    <t xml:space="preserve">HR-AMBALA-CITYBUSSTAND-003</t>
  </si>
  <si>
    <t xml:space="preserve">Ambala City Bus Stand</t>
  </si>
  <si>
    <t xml:space="preserve">Ambala</t>
  </si>
  <si>
    <t xml:space="preserve">Ambala, Ambala City Bus Stand, Ambala bus, Ambala bus stand, bus terminal Ambala, Haryana</t>
  </si>
  <si>
    <t xml:space="preserve">HR-AMBALA-CANTTBUSSTAN-004</t>
  </si>
  <si>
    <t xml:space="preserve">Ambala Cantt Bus Stand</t>
  </si>
  <si>
    <t xml:space="preserve">Ambala, Ambala Cantt Bus Stand, Ambala bus, Ambala bus stand, bus terminal Ambala, Haryana</t>
  </si>
  <si>
    <t xml:space="preserve">HR-PANIPAT-BUSSTAND-005</t>
  </si>
  <si>
    <t xml:space="preserve">Panipat Bus Stand</t>
  </si>
  <si>
    <t xml:space="preserve">Panipat</t>
  </si>
  <si>
    <t xml:space="preserve">Panipat, Panipat Bus Stand, Panipat bus, Panipat bus stand, bus terminal Panipat, Haryana</t>
  </si>
  <si>
    <t xml:space="preserve">HR-KARNAL-BUSSTAND-006</t>
  </si>
  <si>
    <t xml:space="preserve">Karnal Bus Stand</t>
  </si>
  <si>
    <t xml:space="preserve">Karnal</t>
  </si>
  <si>
    <t xml:space="preserve">Karnal, Karnal Bus Stand, Karnal bus, Karnal bus stand, bus terminal Karnal, Haryana</t>
  </si>
  <si>
    <t xml:space="preserve">HR-HISAR-BUSSTAND-007</t>
  </si>
  <si>
    <t xml:space="preserve">Hisar Bus Stand</t>
  </si>
  <si>
    <t xml:space="preserve">Hisar</t>
  </si>
  <si>
    <t xml:space="preserve">Hisar, Hisar Bus Stand, Hisar bus, Hisar bus stand, bus terminal Hisar, Haryana</t>
  </si>
  <si>
    <t xml:space="preserve">HR-ROHTAK-BUSSTAND-008</t>
  </si>
  <si>
    <t xml:space="preserve">Rohtak Bus Stand</t>
  </si>
  <si>
    <t xml:space="preserve">Rohtak</t>
  </si>
  <si>
    <t xml:space="preserve">Rohtak, Rohtak Bus Stand, Rohtak bus, Rohtak bus stand, bus terminal Rohtak, Haryana</t>
  </si>
  <si>
    <t xml:space="preserve">HR-SONIPAT-BUSSTAND-009</t>
  </si>
  <si>
    <t xml:space="preserve">Sonipat Bus Stand</t>
  </si>
  <si>
    <t xml:space="preserve">Sonipat</t>
  </si>
  <si>
    <t xml:space="preserve">Sonipat, Sonipat Bus Stand, Sonipat bus, Sonipat bus stand, bus terminal Sonipat, Haryana</t>
  </si>
  <si>
    <t xml:space="preserve">HR-YAMUNANA-BUSSTAND-010</t>
  </si>
  <si>
    <t xml:space="preserve">Yamunanagar Bus Stand</t>
  </si>
  <si>
    <t xml:space="preserve">Yamunanagar</t>
  </si>
  <si>
    <t xml:space="preserve">Yamunanagar, Yamunanagar Bus Stand, Yamunanagar bus, Yamunanagar bus stand, bus terminal Yamunanagar, Haryana</t>
  </si>
  <si>
    <t xml:space="preserve">HR-KURUKSHE-BUSSTAND-011</t>
  </si>
  <si>
    <t xml:space="preserve">Kurukshetra Bus Stand</t>
  </si>
  <si>
    <t xml:space="preserve">Kurukshetra</t>
  </si>
  <si>
    <t xml:space="preserve">Kurukshetra, Kurukshetra Bus Stand, Kurukshetra bus, Kurukshetra bus stand, bus terminal Kurukshetra, Haryana</t>
  </si>
  <si>
    <t xml:space="preserve">HR-BHIWANI-BUSSTAND-012</t>
  </si>
  <si>
    <t xml:space="preserve">Bhiwani Bus Stand</t>
  </si>
  <si>
    <t xml:space="preserve">Bhiwani</t>
  </si>
  <si>
    <t xml:space="preserve">Bhiwani, Bhiwani Bus Stand, Bhiwani bus, Bhiwani bus stand, bus terminal Bhiwani, Haryana</t>
  </si>
  <si>
    <t xml:space="preserve">HR-SIRSA-BUSSTAND-013</t>
  </si>
  <si>
    <t xml:space="preserve">Sirsa Bus Stand</t>
  </si>
  <si>
    <t xml:space="preserve">Sirsa</t>
  </si>
  <si>
    <t xml:space="preserve">Sirsa, Sirsa Bus Stand, Sirsa bus, Sirsa bus stand, bus terminal Sirsa, Haryana</t>
  </si>
  <si>
    <t xml:space="preserve">HR-PANCHKUL-BUSSTAND-014</t>
  </si>
  <si>
    <t xml:space="preserve">Panchkula Bus Stand</t>
  </si>
  <si>
    <t xml:space="preserve">Panchkula</t>
  </si>
  <si>
    <t xml:space="preserve">Panchkula, Panchkula Bus Stand, Panchkula bus, Panchkula bus stand, bus terminal Panchkula, Haryana</t>
  </si>
  <si>
    <t xml:space="preserve">HR-JIND-BUSSTAND-015</t>
  </si>
  <si>
    <t xml:space="preserve">Jind Bus Stand</t>
  </si>
  <si>
    <t xml:space="preserve">Jind</t>
  </si>
  <si>
    <t xml:space="preserve">Jind, Jind Bus Stand, Jind bus, Jind bus stand, bus terminal Jind, Haryana</t>
  </si>
  <si>
    <t xml:space="preserve">HR-REWARI-BUSSTAND-016</t>
  </si>
  <si>
    <t xml:space="preserve">Rewari Bus Stand</t>
  </si>
  <si>
    <t xml:space="preserve">Rewari</t>
  </si>
  <si>
    <t xml:space="preserve">Rewari, Rewari Bus Stand, Rewari bus, Rewari bus stand, bus terminal Rewari, Haryana</t>
  </si>
  <si>
    <t xml:space="preserve">HP-SHIMLA-ISBTTUTIKAND-001</t>
  </si>
  <si>
    <t xml:space="preserve">Shimla ISBT Tutikandi</t>
  </si>
  <si>
    <t xml:space="preserve">Shimla</t>
  </si>
  <si>
    <t xml:space="preserve">Himachal Pradesh</t>
  </si>
  <si>
    <t xml:space="preserve">Shimla Bus Stand, Tutikandi ISBT</t>
  </si>
  <si>
    <t xml:space="preserve">Shimla, Shimla ISBT Tutikandi, Shimla Bus Stand, Tutikandi ISBT, Shimla bus, Shimla bus stand, bus terminal Shimla, Himachal Pradesh</t>
  </si>
  <si>
    <t xml:space="preserve">HP-SHIMLA-OLDBUSSTAND-002</t>
  </si>
  <si>
    <t xml:space="preserve">Shimla Old Bus Stand</t>
  </si>
  <si>
    <t xml:space="preserve">Rampur Bus Stand Shimla</t>
  </si>
  <si>
    <t xml:space="preserve">Shimla, Shimla Old Bus Stand, Rampur Bus Stand Shimla, Shimla bus, Shimla bus stand, bus terminal Shimla, Himachal Pradesh</t>
  </si>
  <si>
    <t xml:space="preserve">HP-MANALI-BUSSTAND-003</t>
  </si>
  <si>
    <t xml:space="preserve">Manali Bus Stand</t>
  </si>
  <si>
    <t xml:space="preserve">Manali</t>
  </si>
  <si>
    <t xml:space="preserve">Manali, Manali Bus Stand, Manali bus, Manali bus stand, bus terminal Manali, Himachal Pradesh</t>
  </si>
  <si>
    <t xml:space="preserve">HP-DHARAMSH-BUSSTAND-004</t>
  </si>
  <si>
    <t xml:space="preserve">Dharamshala Bus Stand</t>
  </si>
  <si>
    <t xml:space="preserve">Dharamshala</t>
  </si>
  <si>
    <t xml:space="preserve">Dharamshala, Dharamshala Bus Stand, Dharamshala bus, Dharamshala bus stand, bus terminal Dharamshala, Himachal Pradesh</t>
  </si>
  <si>
    <t xml:space="preserve">HP-KULLU-BUSSTAND-005</t>
  </si>
  <si>
    <t xml:space="preserve">Kullu Bus Stand</t>
  </si>
  <si>
    <t xml:space="preserve">Kullu</t>
  </si>
  <si>
    <t xml:space="preserve">Kullu, Kullu Bus Stand, Kullu bus, Kullu bus stand, bus terminal Kullu, Himachal Pradesh</t>
  </si>
  <si>
    <t xml:space="preserve">HP-MANDI-ISBT-006</t>
  </si>
  <si>
    <t xml:space="preserve">Mandi ISBT</t>
  </si>
  <si>
    <t xml:space="preserve">Mandi</t>
  </si>
  <si>
    <t xml:space="preserve">Mandi Bus Stand</t>
  </si>
  <si>
    <t xml:space="preserve">Mandi, Mandi ISBT, Mandi Bus Stand, Mandi bus, Mandi bus stand, bus terminal Mandi, Himachal Pradesh</t>
  </si>
  <si>
    <t xml:space="preserve">HP-SOLAN-BUSSTAND-007</t>
  </si>
  <si>
    <t xml:space="preserve">Solan Bus Stand</t>
  </si>
  <si>
    <t xml:space="preserve">Solan</t>
  </si>
  <si>
    <t xml:space="preserve">Solan, Solan Bus Stand, Solan bus, Solan bus stand, bus terminal Solan, Himachal Pradesh</t>
  </si>
  <si>
    <t xml:space="preserve">HP-UNA-BUSSTAND-008</t>
  </si>
  <si>
    <t xml:space="preserve">Una Bus Stand</t>
  </si>
  <si>
    <t xml:space="preserve">Una</t>
  </si>
  <si>
    <t xml:space="preserve">Una, Una Bus Stand, Una bus, Una bus stand, bus terminal Una, Himachal Pradesh</t>
  </si>
  <si>
    <t xml:space="preserve">HP-BILASPUR-HPBUSSTAND-009</t>
  </si>
  <si>
    <t xml:space="preserve">Bilaspur HP Bus Stand</t>
  </si>
  <si>
    <t xml:space="preserve">Bilaspur, Bilaspur HP Bus Stand, Bilaspur bus, Bilaspur bus stand, bus terminal Bilaspur, Himachal Pradesh</t>
  </si>
  <si>
    <t xml:space="preserve">HP-HAMIRPUR-HPBUSSTAND-010</t>
  </si>
  <si>
    <t xml:space="preserve">Hamirpur HP Bus Stand</t>
  </si>
  <si>
    <t xml:space="preserve">Hamirpur</t>
  </si>
  <si>
    <t xml:space="preserve">Hamirpur, Hamirpur HP Bus Stand, Hamirpur bus, Hamirpur bus stand, bus terminal Hamirpur, Himachal Pradesh</t>
  </si>
  <si>
    <t xml:space="preserve">HP-KANGRA-BUSSTAND-011</t>
  </si>
  <si>
    <t xml:space="preserve">Kangra Bus Stand</t>
  </si>
  <si>
    <t xml:space="preserve">Kangra</t>
  </si>
  <si>
    <t xml:space="preserve">Kangra, Kangra Bus Stand, Kangra bus, Kangra bus stand, bus terminal Kangra, Himachal Pradesh</t>
  </si>
  <si>
    <t xml:space="preserve">HP-PALAMPUR-BUSSTAND-012</t>
  </si>
  <si>
    <t xml:space="preserve">Palampur Bus Stand</t>
  </si>
  <si>
    <t xml:space="preserve">Palampur</t>
  </si>
  <si>
    <t xml:space="preserve">Palampur, Palampur Bus Stand, Palampur bus, Palampur bus stand, bus terminal Palampur, Himachal Pradesh</t>
  </si>
  <si>
    <t xml:space="preserve">HP-CHAMBA-BUSSTAND-013</t>
  </si>
  <si>
    <t xml:space="preserve">Chamba Bus Stand</t>
  </si>
  <si>
    <t xml:space="preserve">Chamba</t>
  </si>
  <si>
    <t xml:space="preserve">Chamba, Chamba Bus Stand, Chamba bus, Chamba bus stand, bus terminal Chamba, Himachal Pradesh</t>
  </si>
  <si>
    <t xml:space="preserve">HP-RECKONGP-BUSSTAND-014</t>
  </si>
  <si>
    <t xml:space="preserve">Reckong Peo Bus Stand</t>
  </si>
  <si>
    <t xml:space="preserve">Reckong Peo</t>
  </si>
  <si>
    <t xml:space="preserve">Kinnaur Bus Stand</t>
  </si>
  <si>
    <t xml:space="preserve">Reckong Peo, Reckong Peo Bus Stand, Kinnaur Bus Stand, Reckong Peo bus, Reckong Peo bus stand, bus terminal Reckong Peo, Himachal Pradesh</t>
  </si>
  <si>
    <t xml:space="preserve">HP-BADDI-BUSSTAND-015</t>
  </si>
  <si>
    <t xml:space="preserve">Baddi Bus Stand</t>
  </si>
  <si>
    <t xml:space="preserve">Baddi</t>
  </si>
  <si>
    <t xml:space="preserve">Baddi, Baddi Bus Stand, Baddi bus, Baddi bus stand, bus terminal Baddi, Himachal Pradesh</t>
  </si>
  <si>
    <t xml:space="preserve">JH-RANCHI-KHADGARHABUS-001</t>
  </si>
  <si>
    <t xml:space="preserve">Ranchi Khadgarha Bus Stand</t>
  </si>
  <si>
    <t xml:space="preserve">Ranchi</t>
  </si>
  <si>
    <t xml:space="preserve">Jharkhand</t>
  </si>
  <si>
    <t xml:space="preserve">Khadgarha Bus Stand</t>
  </si>
  <si>
    <t xml:space="preserve">Ranchi, Ranchi Khadgarha Bus Stand, Khadgarha Bus Stand, Ranchi bus, Ranchi bus stand, bus terminal Ranchi, Jharkhand</t>
  </si>
  <si>
    <t xml:space="preserve">JH-RANCHI-BIRSAMUNDABU-002</t>
  </si>
  <si>
    <t xml:space="preserve">Birsa Munda Bus Terminal</t>
  </si>
  <si>
    <t xml:space="preserve">Birsa Munda ISBT, Ranchi ISBT</t>
  </si>
  <si>
    <t xml:space="preserve">Ranchi, Birsa Munda Bus Terminal, Birsa Munda ISBT, Ranchi ISBT, Ranchi bus, Ranchi bus stand, bus terminal Ranchi, Jharkhand</t>
  </si>
  <si>
    <t xml:space="preserve">JH-JAMSHEDP-BUSSTAND-003</t>
  </si>
  <si>
    <t xml:space="preserve">Jamshedpur Bus Stand</t>
  </si>
  <si>
    <t xml:space="preserve">Jamshedpur</t>
  </si>
  <si>
    <t xml:space="preserve">Mango Bus Stand</t>
  </si>
  <si>
    <t xml:space="preserve">Jamshedpur, Jamshedpur Bus Stand, Mango Bus Stand, Jamshedpur bus, Jamshedpur bus stand, bus terminal Jamshedpur, Jharkhand</t>
  </si>
  <si>
    <t xml:space="preserve">JH-DHANBAD-BUSSTAND-004</t>
  </si>
  <si>
    <t xml:space="preserve">Dhanbad Bus Stand</t>
  </si>
  <si>
    <t xml:space="preserve">Dhanbad</t>
  </si>
  <si>
    <t xml:space="preserve">Dhanbad, Dhanbad Bus Stand, Dhanbad bus, Dhanbad bus stand, bus terminal Dhanbad, Jharkhand</t>
  </si>
  <si>
    <t xml:space="preserve">JH-BOKARO-BUSSTAND-005</t>
  </si>
  <si>
    <t xml:space="preserve">Bokaro Bus Stand</t>
  </si>
  <si>
    <t xml:space="preserve">Bokaro</t>
  </si>
  <si>
    <t xml:space="preserve">Bokaro Steel City Bus Stand</t>
  </si>
  <si>
    <t xml:space="preserve">Bokaro, Bokaro Bus Stand, Bokaro Steel City Bus Stand, Bokaro bus, Bokaro bus stand, bus terminal Bokaro, Jharkhand</t>
  </si>
  <si>
    <t xml:space="preserve">JH-HAZARIBA-BUSSTAND-006</t>
  </si>
  <si>
    <t xml:space="preserve">Hazaribagh Bus Stand</t>
  </si>
  <si>
    <t xml:space="preserve">Hazaribagh</t>
  </si>
  <si>
    <t xml:space="preserve">Hazaribagh, Hazaribagh Bus Stand, Hazaribagh bus, Hazaribagh bus stand, bus terminal Hazaribagh, Jharkhand</t>
  </si>
  <si>
    <t xml:space="preserve">JH-DEOGHAR-BUSSTAND-007</t>
  </si>
  <si>
    <t xml:space="preserve">Deoghar Bus Stand</t>
  </si>
  <si>
    <t xml:space="preserve">Deoghar</t>
  </si>
  <si>
    <t xml:space="preserve">Deoghar, Deoghar Bus Stand, Deoghar bus, Deoghar bus stand, bus terminal Deoghar, Jharkhand</t>
  </si>
  <si>
    <t xml:space="preserve">JH-GIRIDIH-BUSSTAND-008</t>
  </si>
  <si>
    <t xml:space="preserve">Giridih Bus Stand</t>
  </si>
  <si>
    <t xml:space="preserve">Giridih</t>
  </si>
  <si>
    <t xml:space="preserve">Giridih, Giridih Bus Stand, Giridih bus, Giridih bus stand, bus terminal Giridih, Jharkhand</t>
  </si>
  <si>
    <t xml:space="preserve">JH-DUMKA-BUSSTAND-009</t>
  </si>
  <si>
    <t xml:space="preserve">Dumka Bus Stand</t>
  </si>
  <si>
    <t xml:space="preserve">Dumka</t>
  </si>
  <si>
    <t xml:space="preserve">Dumka, Dumka Bus Stand, Dumka bus, Dumka bus stand, bus terminal Dumka, Jharkhand</t>
  </si>
  <si>
    <t xml:space="preserve">JH-MEDININA-BUSSTAND-010</t>
  </si>
  <si>
    <t xml:space="preserve">Medininagar Bus Stand</t>
  </si>
  <si>
    <t xml:space="preserve">Medininagar</t>
  </si>
  <si>
    <t xml:space="preserve">Daltonganj Bus Stand</t>
  </si>
  <si>
    <t xml:space="preserve">Medininagar, Medininagar Bus Stand, Daltonganj Bus Stand, Medininagar bus, Medininagar bus stand, bus terminal Medininagar, Jharkhand</t>
  </si>
  <si>
    <t xml:space="preserve">KA-BENGALUR-KEMPEGOWDABU-001</t>
  </si>
  <si>
    <t xml:space="preserve">Kempegowda Bus Station</t>
  </si>
  <si>
    <t xml:space="preserve">Bengaluru</t>
  </si>
  <si>
    <t xml:space="preserve">Karnataka</t>
  </si>
  <si>
    <t xml:space="preserve">Majestic Bus Stand, Bengaluru Majestic, KBS</t>
  </si>
  <si>
    <t xml:space="preserve">Bengaluru, Kempegowda Bus Station, Majestic Bus Stand, Bengaluru Majestic, KBS, Bengaluru bus, Bengaluru bus stand, bus terminal Bengaluru, Karnataka</t>
  </si>
  <si>
    <t xml:space="preserve">KA-BENGALUR-SHANTINAGARB-002</t>
  </si>
  <si>
    <t xml:space="preserve">Shantinagar Bus Station</t>
  </si>
  <si>
    <t xml:space="preserve">Shanthinagar TTMC</t>
  </si>
  <si>
    <t xml:space="preserve">Bengaluru, Shantinagar Bus Station, Shanthinagar TTMC, Bengaluru bus, Bengaluru bus stand, bus terminal Bengaluru, Karnataka</t>
  </si>
  <si>
    <t xml:space="preserve">KA-BENGALUR-SATELLITEBUS-003</t>
  </si>
  <si>
    <t xml:space="preserve">Satellite Bus Station</t>
  </si>
  <si>
    <t xml:space="preserve">Mysore Road Satellite Bus Stand</t>
  </si>
  <si>
    <t xml:space="preserve">Bengaluru, Satellite Bus Station, Mysore Road Satellite Bus Stand, Bengaluru bus, Bengaluru bus stand, bus terminal Bengaluru, Karnataka</t>
  </si>
  <si>
    <t xml:space="preserve">KA-MYSURU-CENTRALBUSST-004</t>
  </si>
  <si>
    <t xml:space="preserve">Mysuru Central Bus Stand</t>
  </si>
  <si>
    <t xml:space="preserve">Mysuru</t>
  </si>
  <si>
    <t xml:space="preserve">Mysore Bus Stand</t>
  </si>
  <si>
    <t xml:space="preserve">Mysuru, Mysuru Central Bus Stand, Mysore Bus Stand, Mysuru bus, Mysuru bus stand, bus terminal Mysuru, Karnataka</t>
  </si>
  <si>
    <t xml:space="preserve">KA-MANGALUR-KSRTCBUSSTAN-005</t>
  </si>
  <si>
    <t xml:space="preserve">Mangaluru KSRTC Bus Stand</t>
  </si>
  <si>
    <t xml:space="preserve">Mangaluru</t>
  </si>
  <si>
    <t xml:space="preserve">Mangalore KSRTC, Bejai Bus Stand</t>
  </si>
  <si>
    <t xml:space="preserve">Mangaluru, Mangaluru KSRTC Bus Stand, Mangalore KSRTC, Bejai Bus Stand, Mangaluru bus, Mangaluru bus stand, bus terminal Mangaluru, Karnataka</t>
  </si>
  <si>
    <t xml:space="preserve">KA-HUBBALLI-NEWBUSSTAND-006</t>
  </si>
  <si>
    <t xml:space="preserve">Hubballi New Bus Stand</t>
  </si>
  <si>
    <t xml:space="preserve">Hubballi</t>
  </si>
  <si>
    <t xml:space="preserve">Hubli New Bus Stand</t>
  </si>
  <si>
    <t xml:space="preserve">Hubballi, Hubballi New Bus Stand, Hubli New Bus Stand, Hubballi bus, Hubballi bus stand, bus terminal Hubballi, Karnataka</t>
  </si>
  <si>
    <t xml:space="preserve">KA-BELAGAVI-CENTRALBUSST-007</t>
  </si>
  <si>
    <t xml:space="preserve">Belagavi Central Bus Stand</t>
  </si>
  <si>
    <t xml:space="preserve">Belagavi</t>
  </si>
  <si>
    <t xml:space="preserve">Belgaum Bus Stand</t>
  </si>
  <si>
    <t xml:space="preserve">Belagavi, Belagavi Central Bus Stand, Belgaum Bus Stand, Belagavi bus, Belagavi bus stand, bus terminal Belagavi, Karnataka</t>
  </si>
  <si>
    <t xml:space="preserve">KA-KALABURA-BUSSTAND-008</t>
  </si>
  <si>
    <t xml:space="preserve">Kalaburagi Bus Stand</t>
  </si>
  <si>
    <t xml:space="preserve">Kalaburagi</t>
  </si>
  <si>
    <t xml:space="preserve">Gulbarga Bus Stand</t>
  </si>
  <si>
    <t xml:space="preserve">Kalaburagi, Kalaburagi Bus Stand, Gulbarga Bus Stand, Kalaburagi bus, Kalaburagi bus stand, bus terminal Kalaburagi, Karnataka</t>
  </si>
  <si>
    <t xml:space="preserve">KA-SHIVAMOG-BUSSTAND-009</t>
  </si>
  <si>
    <t xml:space="preserve">Shivamogga Bus Stand</t>
  </si>
  <si>
    <t xml:space="preserve">Shivamogga</t>
  </si>
  <si>
    <t xml:space="preserve">Shimoga Bus Stand</t>
  </si>
  <si>
    <t xml:space="preserve">Shivamogga, Shivamogga Bus Stand, Shimoga Bus Stand, Shivamogga bus, Shivamogga bus stand, bus terminal Shivamogga, Karnataka</t>
  </si>
  <si>
    <t xml:space="preserve">KA-DAVANGER-BUSSTAND-010</t>
  </si>
  <si>
    <t xml:space="preserve">Davangere Bus Stand</t>
  </si>
  <si>
    <t xml:space="preserve">Davangere</t>
  </si>
  <si>
    <t xml:space="preserve">Davangere, Davangere Bus Stand, Davangere bus, Davangere bus stand, bus terminal Davangere, Karnataka</t>
  </si>
  <si>
    <t xml:space="preserve">KA-UDUPI-BUSSTAND-011</t>
  </si>
  <si>
    <t xml:space="preserve">Udupi Bus Stand</t>
  </si>
  <si>
    <t xml:space="preserve">Udupi</t>
  </si>
  <si>
    <t xml:space="preserve">Udupi, Udupi Bus Stand, Udupi bus, Udupi bus stand, bus terminal Udupi, Karnataka</t>
  </si>
  <si>
    <t xml:space="preserve">KA-BALLARI-BUSSTAND-012</t>
  </si>
  <si>
    <t xml:space="preserve">Ballari Bus Stand</t>
  </si>
  <si>
    <t xml:space="preserve">Ballari</t>
  </si>
  <si>
    <t xml:space="preserve">Bellary Bus Stand</t>
  </si>
  <si>
    <t xml:space="preserve">Ballari, Ballari Bus Stand, Bellary Bus Stand, Ballari bus, Ballari bus stand, bus terminal Ballari, Karnataka</t>
  </si>
  <si>
    <t xml:space="preserve">KA-VIJAYAPU-BUSSTAND-013</t>
  </si>
  <si>
    <t xml:space="preserve">Vijayapura Bus Stand</t>
  </si>
  <si>
    <t xml:space="preserve">Vijayapura</t>
  </si>
  <si>
    <t xml:space="preserve">Bijapur Bus Stand</t>
  </si>
  <si>
    <t xml:space="preserve">Vijayapura, Vijayapura Bus Stand, Bijapur Bus Stand, Vijayapura bus, Vijayapura bus stand, bus terminal Vijayapura, Karnataka</t>
  </si>
  <si>
    <t xml:space="preserve">KA-HASSAN-BUSSTAND-014</t>
  </si>
  <si>
    <t xml:space="preserve">Hassan Bus Stand</t>
  </si>
  <si>
    <t xml:space="preserve">Hassan</t>
  </si>
  <si>
    <t xml:space="preserve">Hassan, Hassan Bus Stand, Hassan bus, Hassan bus stand, bus terminal Hassan, Karnataka</t>
  </si>
  <si>
    <t xml:space="preserve">KA-TUMAKURU-BUSSTAND-015</t>
  </si>
  <si>
    <t xml:space="preserve">Tumakuru Bus Stand</t>
  </si>
  <si>
    <t xml:space="preserve">Tumakuru</t>
  </si>
  <si>
    <t xml:space="preserve">Tumkur Bus Stand</t>
  </si>
  <si>
    <t xml:space="preserve">Tumakuru, Tumakuru Bus Stand, Tumkur Bus Stand, Tumakuru bus, Tumakuru bus stand, bus terminal Tumakuru, Karnataka</t>
  </si>
  <si>
    <t xml:space="preserve">KA-MADIKERI-BUSSTAND-016</t>
  </si>
  <si>
    <t xml:space="preserve">Madikeri Bus Stand</t>
  </si>
  <si>
    <t xml:space="preserve">Madikeri</t>
  </si>
  <si>
    <t xml:space="preserve">Coorg Bus Stand</t>
  </si>
  <si>
    <t xml:space="preserve">Madikeri, Madikeri Bus Stand, Coorg Bus Stand, Madikeri bus, Madikeri bus stand, bus terminal Madikeri, Karnataka</t>
  </si>
  <si>
    <t xml:space="preserve">KA-DHARWAD-BUSSTAND-017</t>
  </si>
  <si>
    <t xml:space="preserve">Dharwad Bus Stand</t>
  </si>
  <si>
    <t xml:space="preserve">Dharwad</t>
  </si>
  <si>
    <t xml:space="preserve">Dharwad, Dharwad Bus Stand, Dharwad bus, Dharwad bus stand, bus terminal Dharwad, Karnataka</t>
  </si>
  <si>
    <t xml:space="preserve">KA-CHIKKAMA-BUSSTAND-018</t>
  </si>
  <si>
    <t xml:space="preserve">Chikkamagaluru Bus Stand</t>
  </si>
  <si>
    <t xml:space="preserve">Chikkamagaluru</t>
  </si>
  <si>
    <t xml:space="preserve">Chikmagalur Bus Stand</t>
  </si>
  <si>
    <t xml:space="preserve">Chikkamagaluru, Chikkamagaluru Bus Stand, Chikmagalur Bus Stand, Chikkamagaluru bus, Chikkamagaluru bus stand, bus terminal Chikkamagaluru, Karnataka</t>
  </si>
  <si>
    <t xml:space="preserve">KL-THIRUVAN-CENTRALBUSST-001</t>
  </si>
  <si>
    <t xml:space="preserve">Thiruvananthapuram Central Bus Station</t>
  </si>
  <si>
    <t xml:space="preserve">Thiruvananthapuram</t>
  </si>
  <si>
    <t xml:space="preserve">Kerala</t>
  </si>
  <si>
    <t xml:space="preserve">Thampanoor Bus Station, Trivandrum KSRTC</t>
  </si>
  <si>
    <t xml:space="preserve">Thiruvananthapuram, Thiruvananthapuram Central Bus Station, Thampanoor Bus Station, Trivandrum KSRTC, Thiruvananthapuram bus, Thiruvananthapuram bus stand, bus terminal Thiruvananthapuram, Kerala</t>
  </si>
  <si>
    <t xml:space="preserve">KL-ERNAKULA-KSRTCBUSSTAT-002</t>
  </si>
  <si>
    <t xml:space="preserve">Ernakulam KSRTC Bus Station</t>
  </si>
  <si>
    <t xml:space="preserve">Ernakulam</t>
  </si>
  <si>
    <t xml:space="preserve">Kochi KSRTC, Ernakulam Bus Stand</t>
  </si>
  <si>
    <t xml:space="preserve">Ernakulam, Ernakulam KSRTC Bus Station, Kochi KSRTC, Ernakulam Bus Stand, Ernakulam bus, Ernakulam bus stand, bus terminal Ernakulam, Kerala</t>
  </si>
  <si>
    <t xml:space="preserve">KL-KOCHI-VYTTILAMOBIL-003</t>
  </si>
  <si>
    <t xml:space="preserve">Vyttila Mobility Hub</t>
  </si>
  <si>
    <t xml:space="preserve">Kochi</t>
  </si>
  <si>
    <t xml:space="preserve">Vyttila Hub</t>
  </si>
  <si>
    <t xml:space="preserve">Kochi, Vyttila Mobility Hub, Vyttila Hub, Kochi bus, Kochi bus stand, bus terminal Kochi, Kerala</t>
  </si>
  <si>
    <t xml:space="preserve">KL-KOZHIKOD-KSRTCBUSTERM-004</t>
  </si>
  <si>
    <t xml:space="preserve">Kozhikode KSRTC Bus Terminal</t>
  </si>
  <si>
    <t xml:space="preserve">Kozhikode</t>
  </si>
  <si>
    <t xml:space="preserve">Calicut KSRTC, Mavoor Road Bus Stand</t>
  </si>
  <si>
    <t xml:space="preserve">Kozhikode, Kozhikode KSRTC Bus Terminal, Calicut KSRTC, Mavoor Road Bus Stand, Kozhikode bus, Kozhikode bus stand, bus terminal Kozhikode, Kerala</t>
  </si>
  <si>
    <t xml:space="preserve">KL-THRISSUR-KSRTCBUSSTAN-005</t>
  </si>
  <si>
    <t xml:space="preserve">Thrissur KSRTC Bus Stand</t>
  </si>
  <si>
    <t xml:space="preserve">Thrissur</t>
  </si>
  <si>
    <t xml:space="preserve">Thrissur Shoranur Road</t>
  </si>
  <si>
    <t xml:space="preserve">Thrissur, Thrissur KSRTC Bus Stand, Thrissur Shoranur Road, Thrissur bus, Thrissur bus stand, bus terminal Thrissur, Kerala</t>
  </si>
  <si>
    <t xml:space="preserve">KL-KOTTAYAM-KSRTCBUSSTAN-006</t>
  </si>
  <si>
    <t xml:space="preserve">Kottayam KSRTC Bus Stand</t>
  </si>
  <si>
    <t xml:space="preserve">Kottayam</t>
  </si>
  <si>
    <t xml:space="preserve">Kottayam, Kottayam KSRTC Bus Stand, Kottayam bus, Kottayam bus stand, bus terminal Kottayam, Kerala</t>
  </si>
  <si>
    <t xml:space="preserve">KL-KOLLAM-KSRTCBUSSTAN-007</t>
  </si>
  <si>
    <t xml:space="preserve">Kollam KSRTC Bus Stand</t>
  </si>
  <si>
    <t xml:space="preserve">Kollam</t>
  </si>
  <si>
    <t xml:space="preserve">Quilon Bus Stand</t>
  </si>
  <si>
    <t xml:space="preserve">Kollam, Kollam KSRTC Bus Stand, Quilon Bus Stand, Kollam bus, Kollam bus stand, bus terminal Kollam, Kerala</t>
  </si>
  <si>
    <t xml:space="preserve">KL-KANNUR-KSRTCBUSSTAN-008</t>
  </si>
  <si>
    <t xml:space="preserve">Kannur KSRTC Bus Stand</t>
  </si>
  <si>
    <t xml:space="preserve">Kannur</t>
  </si>
  <si>
    <t xml:space="preserve">Kannur, Kannur KSRTC Bus Stand, Kannur bus, Kannur bus stand, bus terminal Kannur, Kerala</t>
  </si>
  <si>
    <t xml:space="preserve">KL-PALAKKAD-KSRTCBUSSTAN-009</t>
  </si>
  <si>
    <t xml:space="preserve">Palakkad KSRTC Bus Stand</t>
  </si>
  <si>
    <t xml:space="preserve">Palakkad</t>
  </si>
  <si>
    <t xml:space="preserve">Palakkad, Palakkad KSRTC Bus Stand, Palakkad bus, Palakkad bus stand, bus terminal Palakkad, Kerala</t>
  </si>
  <si>
    <t xml:space="preserve">KL-ALAPPUZH-KSRTCBUSSTAN-010</t>
  </si>
  <si>
    <t xml:space="preserve">Alappuzha KSRTC Bus Stand</t>
  </si>
  <si>
    <t xml:space="preserve">Alappuzha</t>
  </si>
  <si>
    <t xml:space="preserve">Alleppey Bus Stand</t>
  </si>
  <si>
    <t xml:space="preserve">Alappuzha, Alappuzha KSRTC Bus Stand, Alleppey Bus Stand, Alappuzha bus, Alappuzha bus stand, bus terminal Alappuzha, Kerala</t>
  </si>
  <si>
    <t xml:space="preserve">KL-MALAPPUR-BUSSTAND-011</t>
  </si>
  <si>
    <t xml:space="preserve">Malappuram Bus Stand</t>
  </si>
  <si>
    <t xml:space="preserve">Malappuram</t>
  </si>
  <si>
    <t xml:space="preserve">Malappuram, Malappuram Bus Stand, Malappuram bus, Malappuram bus stand, bus terminal Malappuram, Kerala</t>
  </si>
  <si>
    <t xml:space="preserve">KL-KASARAGO-BUSSTAND-012</t>
  </si>
  <si>
    <t xml:space="preserve">Kasaragod Bus Stand</t>
  </si>
  <si>
    <t xml:space="preserve">Kasaragod</t>
  </si>
  <si>
    <t xml:space="preserve">Kasaragod, Kasaragod Bus Stand, Kasaragod bus, Kasaragod bus stand, bus terminal Kasaragod, Kerala</t>
  </si>
  <si>
    <t xml:space="preserve">KL-MUNNAR-BUSSTAND-013</t>
  </si>
  <si>
    <t xml:space="preserve">Munnar Bus Stand</t>
  </si>
  <si>
    <t xml:space="preserve">Munnar</t>
  </si>
  <si>
    <t xml:space="preserve">Munnar, Munnar Bus Stand, Munnar bus, Munnar bus stand, bus terminal Munnar, Kerala</t>
  </si>
  <si>
    <t xml:space="preserve">KL-PATHANAM-BUSSTAND-014</t>
  </si>
  <si>
    <t xml:space="preserve">Pathanamthitta Bus Stand</t>
  </si>
  <si>
    <t xml:space="preserve">Pathanamthitta</t>
  </si>
  <si>
    <t xml:space="preserve">Pathanamthitta, Pathanamthitta Bus Stand, Pathanamthitta bus, Pathanamthitta bus stand, bus terminal Pathanamthitta, Kerala</t>
  </si>
  <si>
    <t xml:space="preserve">MP-BHOPAL-ISBT-001</t>
  </si>
  <si>
    <t xml:space="preserve">Bhopal ISBT</t>
  </si>
  <si>
    <t xml:space="preserve">Bhopal</t>
  </si>
  <si>
    <t xml:space="preserve">Madhya Pradesh</t>
  </si>
  <si>
    <t xml:space="preserve">Bhopal Bus Stand, Bhopal Inter State Bus Terminal</t>
  </si>
  <si>
    <t xml:space="preserve">Bhopal, Bhopal ISBT, Bhopal Bus Stand, Bhopal Inter State Bus Terminal, Bhopal bus, Bhopal bus stand, bus terminal Bhopal, Madhya Pradesh</t>
  </si>
  <si>
    <t xml:space="preserve">MP-INDORE-SARWATEBUSST-002</t>
  </si>
  <si>
    <t xml:space="preserve">Sarwate Bus Stand</t>
  </si>
  <si>
    <t xml:space="preserve">Indore</t>
  </si>
  <si>
    <t xml:space="preserve">Indore Sarwate</t>
  </si>
  <si>
    <t xml:space="preserve">Indore, Sarwate Bus Stand, Indore Sarwate, Indore bus, Indore bus stand, bus terminal Indore, Madhya Pradesh</t>
  </si>
  <si>
    <t xml:space="preserve">MP-INDORE-GANGWALBUSST-003</t>
  </si>
  <si>
    <t xml:space="preserve">Gangwal Bus Stand</t>
  </si>
  <si>
    <t xml:space="preserve">Indore Gangwal</t>
  </si>
  <si>
    <t xml:space="preserve">Indore, Gangwal Bus Stand, Indore Gangwal, Indore bus, Indore bus stand, bus terminal Indore, Madhya Pradesh</t>
  </si>
  <si>
    <t xml:space="preserve">MP-GWALIOR-ISBT-004</t>
  </si>
  <si>
    <t xml:space="preserve">Gwalior ISBT</t>
  </si>
  <si>
    <t xml:space="preserve">Gwalior</t>
  </si>
  <si>
    <t xml:space="preserve">Gwalior Bus Stand</t>
  </si>
  <si>
    <t xml:space="preserve">Gwalior, Gwalior ISBT, Gwalior Bus Stand, Gwalior bus, Gwalior bus stand, bus terminal Gwalior, Madhya Pradesh</t>
  </si>
  <si>
    <t xml:space="preserve">MP-JABALPUR-BUSSTAND-005</t>
  </si>
  <si>
    <t xml:space="preserve">Jabalpur Bus Stand</t>
  </si>
  <si>
    <t xml:space="preserve">Jabalpur</t>
  </si>
  <si>
    <t xml:space="preserve">Jabalpur ISBT</t>
  </si>
  <si>
    <t xml:space="preserve">Jabalpur, Jabalpur Bus Stand, Jabalpur ISBT, Jabalpur bus, Jabalpur bus stand, bus terminal Jabalpur, Madhya Pradesh</t>
  </si>
  <si>
    <t xml:space="preserve">MP-UJJAIN-DEWASGATEBUS-006</t>
  </si>
  <si>
    <t xml:space="preserve">Ujjain Dewas Gate Bus Stand</t>
  </si>
  <si>
    <t xml:space="preserve">Ujjain</t>
  </si>
  <si>
    <t xml:space="preserve">Ujjain Bus Stand</t>
  </si>
  <si>
    <t xml:space="preserve">Ujjain, Ujjain Dewas Gate Bus Stand, Ujjain Bus Stand, Ujjain bus, Ujjain bus stand, bus terminal Ujjain, Madhya Pradesh</t>
  </si>
  <si>
    <t xml:space="preserve">MP-REWA-BUSSTAND-007</t>
  </si>
  <si>
    <t xml:space="preserve">Rewa Bus Stand</t>
  </si>
  <si>
    <t xml:space="preserve">Rewa</t>
  </si>
  <si>
    <t xml:space="preserve">Rewa, Rewa Bus Stand, Rewa bus, Rewa bus stand, bus terminal Rewa, Madhya Pradesh</t>
  </si>
  <si>
    <t xml:space="preserve">MP-SAGAR-BUSSTAND-008</t>
  </si>
  <si>
    <t xml:space="preserve">Sagar Bus Stand</t>
  </si>
  <si>
    <t xml:space="preserve">Sagar</t>
  </si>
  <si>
    <t xml:space="preserve">Sagar, Sagar Bus Stand, Sagar bus, Sagar bus stand, bus terminal Sagar, Madhya Pradesh</t>
  </si>
  <si>
    <t xml:space="preserve">MP-SATNA-BUSSTAND-009</t>
  </si>
  <si>
    <t xml:space="preserve">Satna Bus Stand</t>
  </si>
  <si>
    <t xml:space="preserve">Satna</t>
  </si>
  <si>
    <t xml:space="preserve">Satna, Satna Bus Stand, Satna bus, Satna bus stand, bus terminal Satna, Madhya Pradesh</t>
  </si>
  <si>
    <t xml:space="preserve">MP-RATLAM-BUSSTAND-010</t>
  </si>
  <si>
    <t xml:space="preserve">Ratlam Bus Stand</t>
  </si>
  <si>
    <t xml:space="preserve">Ratlam</t>
  </si>
  <si>
    <t xml:space="preserve">Ratlam, Ratlam Bus Stand, Ratlam bus, Ratlam bus stand, bus terminal Ratlam, Madhya Pradesh</t>
  </si>
  <si>
    <t xml:space="preserve">MP-KHANDWA-BUSSTAND-011</t>
  </si>
  <si>
    <t xml:space="preserve">Khandwa Bus Stand</t>
  </si>
  <si>
    <t xml:space="preserve">Khandwa</t>
  </si>
  <si>
    <t xml:space="preserve">Khandwa, Khandwa Bus Stand, Khandwa bus, Khandwa bus stand, bus terminal Khandwa, Madhya Pradesh</t>
  </si>
  <si>
    <t xml:space="preserve">MP-CHHINDWA-BUSSTAND-012</t>
  </si>
  <si>
    <t xml:space="preserve">Chhindwara Bus Stand</t>
  </si>
  <si>
    <t xml:space="preserve">Chhindwara</t>
  </si>
  <si>
    <t xml:space="preserve">Chhindwara, Chhindwara Bus Stand, Chhindwara bus, Chhindwara bus stand, bus terminal Chhindwara, Madhya Pradesh</t>
  </si>
  <si>
    <t xml:space="preserve">MP-DEWAS-BUSSTAND-013</t>
  </si>
  <si>
    <t xml:space="preserve">Dewas Bus Stand</t>
  </si>
  <si>
    <t xml:space="preserve">Dewas</t>
  </si>
  <si>
    <t xml:space="preserve">Dewas, Dewas Bus Stand, Dewas bus, Dewas bus stand, bus terminal Dewas, Madhya Pradesh</t>
  </si>
  <si>
    <t xml:space="preserve">MH-MUMBAI-CENTRALSTDEP-001</t>
  </si>
  <si>
    <t xml:space="preserve">Mumbai Central ST Depot</t>
  </si>
  <si>
    <t xml:space="preserve">State Transport Terminal</t>
  </si>
  <si>
    <t xml:space="preserve">Mumbai</t>
  </si>
  <si>
    <t xml:space="preserve">Maharashtra</t>
  </si>
  <si>
    <t xml:space="preserve">Mumbai Central Bus Station, MSRTC Mumbai Central</t>
  </si>
  <si>
    <t xml:space="preserve">Mumbai, Mumbai Central ST Depot, Mumbai Central Bus Station, MSRTC Mumbai Central, Mumbai bus, Mumbai bus stand, bus terminal Mumbai, Maharashtra</t>
  </si>
  <si>
    <t xml:space="preserve">MH-MUMBAI-PARELSTDEPOT-002</t>
  </si>
  <si>
    <t xml:space="preserve">Parel ST Depot</t>
  </si>
  <si>
    <t xml:space="preserve">Parel Bus Depot</t>
  </si>
  <si>
    <t xml:space="preserve">Mumbai, Parel ST Depot, Parel Bus Depot, Mumbai bus, Mumbai bus stand, bus terminal Mumbai, Maharashtra</t>
  </si>
  <si>
    <t xml:space="preserve">MH-MUMBAI-BORIVALISTST-003</t>
  </si>
  <si>
    <t xml:space="preserve">Borivali ST Stand</t>
  </si>
  <si>
    <t xml:space="preserve">Borivali Bus Stand</t>
  </si>
  <si>
    <t xml:space="preserve">Mumbai, Borivali ST Stand, Borivali Bus Stand, Mumbai bus, Mumbai bus stand, bus terminal Mumbai, Maharashtra</t>
  </si>
  <si>
    <t xml:space="preserve">MH-THANE-KHOPATBUSSTA-004</t>
  </si>
  <si>
    <t xml:space="preserve">Thane Khopat Bus Stand</t>
  </si>
  <si>
    <t xml:space="preserve">Thane</t>
  </si>
  <si>
    <t xml:space="preserve">Thane Bus Stand</t>
  </si>
  <si>
    <t xml:space="preserve">Thane, Thane Khopat Bus Stand, Thane Bus Stand, Thane bus, Thane bus stand, bus terminal Thane, Maharashtra</t>
  </si>
  <si>
    <t xml:space="preserve">MH-PUNE-SWARGATEBUSS-005</t>
  </si>
  <si>
    <t xml:space="preserve">Swargate Bus Stand</t>
  </si>
  <si>
    <t xml:space="preserve">Pune</t>
  </si>
  <si>
    <t xml:space="preserve">Pune Swargate, Swargate ST</t>
  </si>
  <si>
    <t xml:space="preserve">Pune, Swargate Bus Stand, Pune Swargate, Swargate ST, Pune bus, Pune bus stand, bus terminal Pune, Maharashtra</t>
  </si>
  <si>
    <t xml:space="preserve">MH-PUNE-SHIVAJINAGAR-006</t>
  </si>
  <si>
    <t xml:space="preserve">Shivajinagar Bus Stand</t>
  </si>
  <si>
    <t xml:space="preserve">Pune Shivajinagar, Shivajinagar ST</t>
  </si>
  <si>
    <t xml:space="preserve">Pune, Shivajinagar Bus Stand, Pune Shivajinagar, Shivajinagar ST, Pune bus, Pune bus stand, bus terminal Pune, Maharashtra</t>
  </si>
  <si>
    <t xml:space="preserve">MH-PUNE-STATIONSTSTA-007</t>
  </si>
  <si>
    <t xml:space="preserve">Pune Station ST Stand</t>
  </si>
  <si>
    <t xml:space="preserve">Pune Railway Station Bus Stand</t>
  </si>
  <si>
    <t xml:space="preserve">Pune, Pune Station ST Stand, Pune Railway Station Bus Stand, Pune bus, Pune bus stand, bus terminal Pune, Maharashtra</t>
  </si>
  <si>
    <t xml:space="preserve">MH-NAGPUR-GANESHPETHBU-008</t>
  </si>
  <si>
    <t xml:space="preserve">Ganeshpeth Bus Stand</t>
  </si>
  <si>
    <t xml:space="preserve">Nagpur</t>
  </si>
  <si>
    <t xml:space="preserve">Nagpur MSRTC, Ganeshpeth ST</t>
  </si>
  <si>
    <t xml:space="preserve">Nagpur, Ganeshpeth Bus Stand, Nagpur MSRTC, Ganeshpeth ST, Nagpur bus, Nagpur bus stand, bus terminal Nagpur, Maharashtra</t>
  </si>
  <si>
    <t xml:space="preserve">MH-NASHIK-CENTRALBUSST-009</t>
  </si>
  <si>
    <t xml:space="preserve">Nashik Central Bus Stand</t>
  </si>
  <si>
    <t xml:space="preserve">Nashik</t>
  </si>
  <si>
    <t xml:space="preserve">Nashik CBS, Nashik Old CBS</t>
  </si>
  <si>
    <t xml:space="preserve">Nashik, Nashik Central Bus Stand, Nashik CBS, Nashik Old CBS, Nashik bus, Nashik bus stand, bus terminal Nashik, Maharashtra</t>
  </si>
  <si>
    <t xml:space="preserve">MH-CHHATRAP-CENTRALBUSST-010</t>
  </si>
  <si>
    <t xml:space="preserve">Chhatrapati Sambhajinagar Central Bus Stand</t>
  </si>
  <si>
    <t xml:space="preserve">Chhatrapati Sambhajinagar</t>
  </si>
  <si>
    <t xml:space="preserve">Aurangabad Central Bus Stand, Aurangabad ST</t>
  </si>
  <si>
    <t xml:space="preserve">Chhatrapati Sambhajinagar, Chhatrapati Sambhajinagar Central Bus Stand, Aurangabad Central Bus Stand, Aurangabad ST, Chhatrapati Sambhajinagar bus, Chhatrapati Sambhajinagar bus stand, bus terminal Chhatrapati Sambhajinagar, Maharashtra</t>
  </si>
  <si>
    <t xml:space="preserve">MH-KOLHAPUR-CENTRALBUSST-011</t>
  </si>
  <si>
    <t xml:space="preserve">Kolhapur Central Bus Stand</t>
  </si>
  <si>
    <t xml:space="preserve">Kolhapur</t>
  </si>
  <si>
    <t xml:space="preserve">Kolhapur ST</t>
  </si>
  <si>
    <t xml:space="preserve">Kolhapur, Kolhapur Central Bus Stand, Kolhapur ST, Kolhapur bus, Kolhapur bus stand, bus terminal Kolhapur, Maharashtra</t>
  </si>
  <si>
    <t xml:space="preserve">MH-SOLAPUR-BUSSTAND-012</t>
  </si>
  <si>
    <t xml:space="preserve">Solapur Bus Stand</t>
  </si>
  <si>
    <t xml:space="preserve">Solapur</t>
  </si>
  <si>
    <t xml:space="preserve">Solapur, Solapur Bus Stand, Solapur bus, Solapur bus stand, bus terminal Solapur, Maharashtra</t>
  </si>
  <si>
    <t xml:space="preserve">MH-AMRAVATI-BUSSTAND-013</t>
  </si>
  <si>
    <t xml:space="preserve">Amravati Bus Stand</t>
  </si>
  <si>
    <t xml:space="preserve">Amravati</t>
  </si>
  <si>
    <t xml:space="preserve">Amravati, Amravati Bus Stand, Amravati bus, Amravati bus stand, bus terminal Amravati, Maharashtra</t>
  </si>
  <si>
    <t xml:space="preserve">MH-NANDED-BUSSTAND-014</t>
  </si>
  <si>
    <t xml:space="preserve">Nanded Bus Stand</t>
  </si>
  <si>
    <t xml:space="preserve">Nanded</t>
  </si>
  <si>
    <t xml:space="preserve">Nanded, Nanded Bus Stand, Nanded bus, Nanded bus stand, bus terminal Nanded, Maharashtra</t>
  </si>
  <si>
    <t xml:space="preserve">MH-RATNAGIR-BUSSTAND-015</t>
  </si>
  <si>
    <t xml:space="preserve">Ratnagiri Bus Stand</t>
  </si>
  <si>
    <t xml:space="preserve">Ratnagiri</t>
  </si>
  <si>
    <t xml:space="preserve">Ratnagiri, Ratnagiri Bus Stand, Ratnagiri bus, Ratnagiri bus stand, bus terminal Ratnagiri, Maharashtra</t>
  </si>
  <si>
    <t xml:space="preserve">MH-SATARA-BUSSTAND-016</t>
  </si>
  <si>
    <t xml:space="preserve">Satara Bus Stand</t>
  </si>
  <si>
    <t xml:space="preserve">Satara</t>
  </si>
  <si>
    <t xml:space="preserve">Satara, Satara Bus Stand, Satara bus, Satara bus stand, bus terminal Satara, Maharashtra</t>
  </si>
  <si>
    <t xml:space="preserve">MH-SANGLI-BUSSTAND-017</t>
  </si>
  <si>
    <t xml:space="preserve">Sangli Bus Stand</t>
  </si>
  <si>
    <t xml:space="preserve">Sangli</t>
  </si>
  <si>
    <t xml:space="preserve">Sangli, Sangli Bus Stand, Sangli bus, Sangli bus stand, bus terminal Sangli, Maharashtra</t>
  </si>
  <si>
    <t xml:space="preserve">MH-LATUR-BUSSTAND-018</t>
  </si>
  <si>
    <t xml:space="preserve">Latur Bus Stand</t>
  </si>
  <si>
    <t xml:space="preserve">Latur</t>
  </si>
  <si>
    <t xml:space="preserve">Latur, Latur Bus Stand, Latur bus, Latur bus stand, bus terminal Latur, Maharashtra</t>
  </si>
  <si>
    <t xml:space="preserve">MH-JALGAON-BUSSTAND-019</t>
  </si>
  <si>
    <t xml:space="preserve">Jalgaon Bus Stand</t>
  </si>
  <si>
    <t xml:space="preserve">Jalgaon</t>
  </si>
  <si>
    <t xml:space="preserve">Jalgaon, Jalgaon Bus Stand, Jalgaon bus, Jalgaon bus stand, bus terminal Jalgaon, Maharashtra</t>
  </si>
  <si>
    <t xml:space="preserve">MH-AKOLA-BUSSTAND-020</t>
  </si>
  <si>
    <t xml:space="preserve">Akola Bus Stand</t>
  </si>
  <si>
    <t xml:space="preserve">Akola</t>
  </si>
  <si>
    <t xml:space="preserve">Akola, Akola Bus Stand, Akola bus, Akola bus stand, bus terminal Akola, Maharashtra</t>
  </si>
  <si>
    <t xml:space="preserve">MH-MAHABALE-BUSSTAND-021</t>
  </si>
  <si>
    <t xml:space="preserve">Mahabaleshwar Bus Stand</t>
  </si>
  <si>
    <t xml:space="preserve">Mahabaleshwar</t>
  </si>
  <si>
    <t xml:space="preserve">Mahabaleshwar, Mahabaleshwar Bus Stand, Mahabaleshwar bus, Mahabaleshwar bus stand, bus terminal Mahabaleshwar, Maharashtra</t>
  </si>
  <si>
    <t xml:space="preserve">MN-IMPHAL-ISBT-001</t>
  </si>
  <si>
    <t xml:space="preserve">Imphal ISBT</t>
  </si>
  <si>
    <t xml:space="preserve">Imphal</t>
  </si>
  <si>
    <t xml:space="preserve">Manipur</t>
  </si>
  <si>
    <t xml:space="preserve">Imphal Bus Terminal</t>
  </si>
  <si>
    <t xml:space="preserve">Imphal, Imphal ISBT, Imphal Bus Terminal, Imphal bus, Imphal bus stand, bus terminal Imphal, Manipur</t>
  </si>
  <si>
    <t xml:space="preserve">MN-CHURACHA-BUSSTAND-002</t>
  </si>
  <si>
    <t xml:space="preserve">Churachandpur Bus Stand</t>
  </si>
  <si>
    <t xml:space="preserve">Churachandpur</t>
  </si>
  <si>
    <t xml:space="preserve">Churachandpur, Churachandpur Bus Stand, Churachandpur bus, Churachandpur bus stand, bus terminal Churachandpur, Manipur</t>
  </si>
  <si>
    <t xml:space="preserve">MN-UKHRUL-BUSSTAND-003</t>
  </si>
  <si>
    <t xml:space="preserve">Ukhrul Bus Stand</t>
  </si>
  <si>
    <t xml:space="preserve">Ukhrul</t>
  </si>
  <si>
    <t xml:space="preserve">Ukhrul, Ukhrul Bus Stand, Ukhrul bus, Ukhrul bus stand, bus terminal Ukhrul, Manipur</t>
  </si>
  <si>
    <t xml:space="preserve">MN-THOUBAL-BUSSTAND-004</t>
  </si>
  <si>
    <t xml:space="preserve">Thoubal Bus Stand</t>
  </si>
  <si>
    <t xml:space="preserve">Thoubal</t>
  </si>
  <si>
    <t xml:space="preserve">Thoubal, Thoubal Bus Stand, Thoubal bus, Thoubal bus stand, bus terminal Thoubal, Manipur</t>
  </si>
  <si>
    <t xml:space="preserve">MN-BISHNUPU-MANIPURBUSST-005</t>
  </si>
  <si>
    <t xml:space="preserve">Bishnupur Manipur Bus Stand</t>
  </si>
  <si>
    <t xml:space="preserve">Bishnupur, Bishnupur Manipur Bus Stand, Bishnupur bus, Bishnupur bus stand, bus terminal Bishnupur, Manipur</t>
  </si>
  <si>
    <t xml:space="preserve">MN-KAKCHING-BUSSTAND-006</t>
  </si>
  <si>
    <t xml:space="preserve">Kakching Bus Stand</t>
  </si>
  <si>
    <t xml:space="preserve">Kakching</t>
  </si>
  <si>
    <t xml:space="preserve">Kakching, Kakching Bus Stand, Kakching bus, Kakching bus stand, bus terminal Kakching, Manipur</t>
  </si>
  <si>
    <t xml:space="preserve">ML-SHILLONG-BUSSTAND-001</t>
  </si>
  <si>
    <t xml:space="preserve">Shillong Bus Stand</t>
  </si>
  <si>
    <t xml:space="preserve">Shillong</t>
  </si>
  <si>
    <t xml:space="preserve">Meghalaya</t>
  </si>
  <si>
    <t xml:space="preserve">Shillong Police Bazar Bus Stand, Lumparing Bus Stand</t>
  </si>
  <si>
    <t xml:space="preserve">Shillong, Shillong Bus Stand, Shillong Police Bazar Bus Stand, Lumparing Bus Stand, Shillong bus, Shillong bus stand, bus terminal Shillong, Meghalaya</t>
  </si>
  <si>
    <t xml:space="preserve">ML-TURA-BUSSTAND-002</t>
  </si>
  <si>
    <t xml:space="preserve">Tura Bus Stand</t>
  </si>
  <si>
    <t xml:space="preserve">Tura</t>
  </si>
  <si>
    <t xml:space="preserve">Tura, Tura Bus Stand, Tura bus, Tura bus stand, bus terminal Tura, Meghalaya</t>
  </si>
  <si>
    <t xml:space="preserve">ML-JOWAI-BUSSTAND-003</t>
  </si>
  <si>
    <t xml:space="preserve">Jowai Bus Stand</t>
  </si>
  <si>
    <t xml:space="preserve">Jowai</t>
  </si>
  <si>
    <t xml:space="preserve">Jowai, Jowai Bus Stand, Jowai bus, Jowai bus stand, bus terminal Jowai, Meghalaya</t>
  </si>
  <si>
    <t xml:space="preserve">ML-NONGPOH-BUSSTAND-004</t>
  </si>
  <si>
    <t xml:space="preserve">Nongpoh Bus Stand</t>
  </si>
  <si>
    <t xml:space="preserve">Nongpoh</t>
  </si>
  <si>
    <t xml:space="preserve">Nongpoh, Nongpoh Bus Stand, Nongpoh bus, Nongpoh bus stand, bus terminal Nongpoh, Meghalaya</t>
  </si>
  <si>
    <t xml:space="preserve">ML-WILLIAMN-BUSSTAND-005</t>
  </si>
  <si>
    <t xml:space="preserve">Williamnagar Bus Stand</t>
  </si>
  <si>
    <t xml:space="preserve">Williamnagar</t>
  </si>
  <si>
    <t xml:space="preserve">Williamnagar, Williamnagar Bus Stand, Williamnagar bus, Williamnagar bus stand, bus terminal Williamnagar, Meghalaya</t>
  </si>
  <si>
    <t xml:space="preserve">ML-SOHRA-BUSSTAND-006</t>
  </si>
  <si>
    <t xml:space="preserve">Sohra Bus Stand</t>
  </si>
  <si>
    <t xml:space="preserve">Sohra</t>
  </si>
  <si>
    <t xml:space="preserve">Cherrapunji Bus Stand</t>
  </si>
  <si>
    <t xml:space="preserve">Sohra, Sohra Bus Stand, Cherrapunji Bus Stand, Sohra bus, Sohra bus stand, bus terminal Sohra, Meghalaya</t>
  </si>
  <si>
    <t xml:space="preserve">MZ-AIZAWL-BUSTERMINUS-001</t>
  </si>
  <si>
    <t xml:space="preserve">Aizawl Bus Terminus</t>
  </si>
  <si>
    <t xml:space="preserve">Aizawl</t>
  </si>
  <si>
    <t xml:space="preserve">Mizoram</t>
  </si>
  <si>
    <t xml:space="preserve">Aizawl Bus Stand</t>
  </si>
  <si>
    <t xml:space="preserve">Aizawl, Aizawl Bus Terminus, Aizawl Bus Stand, Aizawl bus, Aizawl bus stand, bus terminal Aizawl, Mizoram</t>
  </si>
  <si>
    <t xml:space="preserve">MZ-LUNGLEI-BUSSTAND-002</t>
  </si>
  <si>
    <t xml:space="preserve">Lunglei Bus Stand</t>
  </si>
  <si>
    <t xml:space="preserve">Lunglei</t>
  </si>
  <si>
    <t xml:space="preserve">Lunglei, Lunglei Bus Stand, Lunglei bus, Lunglei bus stand, bus terminal Lunglei, Mizoram</t>
  </si>
  <si>
    <t xml:space="preserve">MZ-CHAMPHAI-BUSSTAND-003</t>
  </si>
  <si>
    <t xml:space="preserve">Champhai Bus Stand</t>
  </si>
  <si>
    <t xml:space="preserve">Champhai</t>
  </si>
  <si>
    <t xml:space="preserve">Champhai, Champhai Bus Stand, Champhai bus, Champhai bus stand, bus terminal Champhai, Mizoram</t>
  </si>
  <si>
    <t xml:space="preserve">MZ-SERCHHIP-BUSSTAND-004</t>
  </si>
  <si>
    <t xml:space="preserve">Serchhip Bus Stand</t>
  </si>
  <si>
    <t xml:space="preserve">Serchhip</t>
  </si>
  <si>
    <t xml:space="preserve">Serchhip, Serchhip Bus Stand, Serchhip bus, Serchhip bus stand, bus terminal Serchhip, Mizoram</t>
  </si>
  <si>
    <t xml:space="preserve">MZ-KOLASIB-BUSSTAND-005</t>
  </si>
  <si>
    <t xml:space="preserve">Kolasib Bus Stand</t>
  </si>
  <si>
    <t xml:space="preserve">Kolasib</t>
  </si>
  <si>
    <t xml:space="preserve">Kolasib, Kolasib Bus Stand, Kolasib bus, Kolasib bus stand, bus terminal Kolasib, Mizoram</t>
  </si>
  <si>
    <t xml:space="preserve">NL-KOHIMA-BUSSTATION-001</t>
  </si>
  <si>
    <t xml:space="preserve">Kohima Bus Station</t>
  </si>
  <si>
    <t xml:space="preserve">Kohima</t>
  </si>
  <si>
    <t xml:space="preserve">Nagaland</t>
  </si>
  <si>
    <t xml:space="preserve">Kohima Bus Stand</t>
  </si>
  <si>
    <t xml:space="preserve">Kohima, Kohima Bus Station, Kohima Bus Stand, Kohima bus, Kohima bus stand, bus terminal Kohima, Nagaland</t>
  </si>
  <si>
    <t xml:space="preserve">NL-DIMAPUR-BUSSTATION-002</t>
  </si>
  <si>
    <t xml:space="preserve">Dimapur Bus Station</t>
  </si>
  <si>
    <t xml:space="preserve">Dimapur</t>
  </si>
  <si>
    <t xml:space="preserve">Dimapur Bus Stand</t>
  </si>
  <si>
    <t xml:space="preserve">Dimapur, Dimapur Bus Station, Dimapur Bus Stand, Dimapur bus, Dimapur bus stand, bus terminal Dimapur, Nagaland</t>
  </si>
  <si>
    <t xml:space="preserve">NL-MOKOKCHU-BUSSTAND-003</t>
  </si>
  <si>
    <t xml:space="preserve">Mokokchung Bus Stand</t>
  </si>
  <si>
    <t xml:space="preserve">Mokokchung</t>
  </si>
  <si>
    <t xml:space="preserve">Mokokchung, Mokokchung Bus Stand, Mokokchung bus, Mokokchung bus stand, bus terminal Mokokchung, Nagaland</t>
  </si>
  <si>
    <t xml:space="preserve">NL-WOKHA-BUSSTAND-004</t>
  </si>
  <si>
    <t xml:space="preserve">Wokha Bus Stand</t>
  </si>
  <si>
    <t xml:space="preserve">Wokha</t>
  </si>
  <si>
    <t xml:space="preserve">Wokha, Wokha Bus Stand, Wokha bus, Wokha bus stand, bus terminal Wokha, Nagaland</t>
  </si>
  <si>
    <t xml:space="preserve">NL-TUENSANG-BUSSTAND-005</t>
  </si>
  <si>
    <t xml:space="preserve">Tuensang Bus Stand</t>
  </si>
  <si>
    <t xml:space="preserve">Tuensang</t>
  </si>
  <si>
    <t xml:space="preserve">Tuensang, Tuensang Bus Stand, Tuensang bus, Tuensang bus stand, bus terminal Tuensang, Nagaland</t>
  </si>
  <si>
    <t xml:space="preserve">NL-MON-BUSSTAND-006</t>
  </si>
  <si>
    <t xml:space="preserve">Mon Bus Stand</t>
  </si>
  <si>
    <t xml:space="preserve">Mon</t>
  </si>
  <si>
    <t xml:space="preserve">Mon, Mon Bus Stand, Mon bus, Mon bus stand, bus terminal Mon, Nagaland</t>
  </si>
  <si>
    <t xml:space="preserve">NL-ZUNHEBOT-BUSSTAND-007</t>
  </si>
  <si>
    <t xml:space="preserve">Zunheboto Bus Stand</t>
  </si>
  <si>
    <t xml:space="preserve">Zunheboto</t>
  </si>
  <si>
    <t xml:space="preserve">Zunheboto, Zunheboto Bus Stand, Zunheboto bus, Zunheboto bus stand, bus terminal Zunheboto, Nagaland</t>
  </si>
  <si>
    <t xml:space="preserve">OD-BHUBANES-BARAMUNDAISB-001</t>
  </si>
  <si>
    <t xml:space="preserve">Baramunda ISBT</t>
  </si>
  <si>
    <t xml:space="preserve">Bhubaneswar</t>
  </si>
  <si>
    <t xml:space="preserve">Odisha</t>
  </si>
  <si>
    <t xml:space="preserve">Bhubaneswar ISBT, Baramunda Bus Stand</t>
  </si>
  <si>
    <t xml:space="preserve">Bhubaneswar, Baramunda ISBT, Bhubaneswar ISBT, Baramunda Bus Stand, Bhubaneswar bus, Bhubaneswar bus stand, bus terminal Bhubaneswar, Odisha</t>
  </si>
  <si>
    <t xml:space="preserve">OD-CUTTACK-BADAMBADIBUS-002</t>
  </si>
  <si>
    <t xml:space="preserve">Cuttack Badambadi Bus Stand</t>
  </si>
  <si>
    <t xml:space="preserve">Cuttack</t>
  </si>
  <si>
    <t xml:space="preserve">Badambadi Bus Stand</t>
  </si>
  <si>
    <t xml:space="preserve">Cuttack, Cuttack Badambadi Bus Stand, Badambadi Bus Stand, Cuttack bus, Cuttack bus stand, bus terminal Cuttack, Odisha</t>
  </si>
  <si>
    <t xml:space="preserve">OD-PURI-BUSSTAND-003</t>
  </si>
  <si>
    <t xml:space="preserve">Puri Bus Stand</t>
  </si>
  <si>
    <t xml:space="preserve">Puri</t>
  </si>
  <si>
    <t xml:space="preserve">Puri Bus Terminal</t>
  </si>
  <si>
    <t xml:space="preserve">Puri, Puri Bus Stand, Puri Bus Terminal, Puri bus, Puri bus stand, bus terminal Puri, Odisha</t>
  </si>
  <si>
    <t xml:space="preserve">OD-BERHAMPU-BUSSTAND-004</t>
  </si>
  <si>
    <t xml:space="preserve">Berhampur Bus Stand</t>
  </si>
  <si>
    <t xml:space="preserve">Berhampur</t>
  </si>
  <si>
    <t xml:space="preserve">Brahmapur Bus Stand</t>
  </si>
  <si>
    <t xml:space="preserve">Berhampur, Berhampur Bus Stand, Brahmapur Bus Stand, Berhampur bus, Berhampur bus stand, bus terminal Berhampur, Odisha</t>
  </si>
  <si>
    <t xml:space="preserve">OD-SAMBALPU-BUSSTAND-005</t>
  </si>
  <si>
    <t xml:space="preserve">Sambalpur Bus Stand</t>
  </si>
  <si>
    <t xml:space="preserve">Sambalpur</t>
  </si>
  <si>
    <t xml:space="preserve">Sambalpur, Sambalpur Bus Stand, Sambalpur bus, Sambalpur bus stand, bus terminal Sambalpur, Odisha</t>
  </si>
  <si>
    <t xml:space="preserve">OD-ROURKELA-BUSSTAND-006</t>
  </si>
  <si>
    <t xml:space="preserve">Rourkela Bus Stand</t>
  </si>
  <si>
    <t xml:space="preserve">Rourkela</t>
  </si>
  <si>
    <t xml:space="preserve">Rourkela, Rourkela Bus Stand, Rourkela bus, Rourkela bus stand, bus terminal Rourkela, Odisha</t>
  </si>
  <si>
    <t xml:space="preserve">OD-BALASORE-BUSSTAND-007</t>
  </si>
  <si>
    <t xml:space="preserve">Balasore Bus Stand</t>
  </si>
  <si>
    <t xml:space="preserve">Balasore</t>
  </si>
  <si>
    <t xml:space="preserve">Baleshwar Bus Stand</t>
  </si>
  <si>
    <t xml:space="preserve">Balasore, Balasore Bus Stand, Baleshwar Bus Stand, Balasore bus, Balasore bus stand, bus terminal Balasore, Odisha</t>
  </si>
  <si>
    <t xml:space="preserve">OD-BHADRAK-BUSSTAND-008</t>
  </si>
  <si>
    <t xml:space="preserve">Bhadrak Bus Stand</t>
  </si>
  <si>
    <t xml:space="preserve">Bhadrak</t>
  </si>
  <si>
    <t xml:space="preserve">Bhadrak, Bhadrak Bus Stand, Bhadrak bus, Bhadrak bus stand, bus terminal Bhadrak, Odisha</t>
  </si>
  <si>
    <t xml:space="preserve">OD-KORAPUT-BUSSTAND-009</t>
  </si>
  <si>
    <t xml:space="preserve">Koraput Bus Stand</t>
  </si>
  <si>
    <t xml:space="preserve">Koraput</t>
  </si>
  <si>
    <t xml:space="preserve">Koraput, Koraput Bus Stand, Koraput bus, Koraput bus stand, bus terminal Koraput, Odisha</t>
  </si>
  <si>
    <t xml:space="preserve">OD-JEYPORE-BUSSTAND-010</t>
  </si>
  <si>
    <t xml:space="preserve">Jeypore Bus Stand</t>
  </si>
  <si>
    <t xml:space="preserve">Jeypore</t>
  </si>
  <si>
    <t xml:space="preserve">Jeypore, Jeypore Bus Stand, Jeypore bus, Jeypore bus stand, bus terminal Jeypore, Odisha</t>
  </si>
  <si>
    <t xml:space="preserve">OD-ANGUL-BUSSTAND-011</t>
  </si>
  <si>
    <t xml:space="preserve">Angul Bus Stand</t>
  </si>
  <si>
    <t xml:space="preserve">Angul</t>
  </si>
  <si>
    <t xml:space="preserve">Angul, Angul Bus Stand, Angul bus, Angul bus stand, bus terminal Angul, Odisha</t>
  </si>
  <si>
    <t xml:space="preserve">OD-BARIPADA-BUSSTAND-012</t>
  </si>
  <si>
    <t xml:space="preserve">Baripada Bus Stand</t>
  </si>
  <si>
    <t xml:space="preserve">Baripada</t>
  </si>
  <si>
    <t xml:space="preserve">Baripada, Baripada Bus Stand, Baripada bus, Baripada bus stand, bus terminal Baripada, Odisha</t>
  </si>
  <si>
    <t xml:space="preserve">OD-KEONJHAR-BUSSTAND-013</t>
  </si>
  <si>
    <t xml:space="preserve">Keonjhar Bus Stand</t>
  </si>
  <si>
    <t xml:space="preserve">Keonjhar</t>
  </si>
  <si>
    <t xml:space="preserve">Keonjhar, Keonjhar Bus Stand, Keonjhar bus, Keonjhar bus stand, bus terminal Keonjhar, Odisha</t>
  </si>
  <si>
    <t xml:space="preserve">OD-BOLANGIR-BUSSTAND-014</t>
  </si>
  <si>
    <t xml:space="preserve">Bolangir Bus Stand</t>
  </si>
  <si>
    <t xml:space="preserve">Bolangir</t>
  </si>
  <si>
    <t xml:space="preserve">Bolangir, Bolangir Bus Stand, Bolangir bus, Bolangir bus stand, bus terminal Bolangir, Odisha</t>
  </si>
  <si>
    <t xml:space="preserve">OD-JHARSUGU-BUSSTAND-015</t>
  </si>
  <si>
    <t xml:space="preserve">Jharsuguda Bus Stand</t>
  </si>
  <si>
    <t xml:space="preserve">Jharsuguda</t>
  </si>
  <si>
    <t xml:space="preserve">Jharsuguda, Jharsuguda Bus Stand, Jharsuguda bus, Jharsuguda bus stand, bus terminal Jharsuguda, Odisha</t>
  </si>
  <si>
    <t xml:space="preserve">PB-LUDHIANA-BUSSTAND-001</t>
  </si>
  <si>
    <t xml:space="preserve">Ludhiana Bus Stand</t>
  </si>
  <si>
    <t xml:space="preserve">Ludhiana</t>
  </si>
  <si>
    <t xml:space="preserve">Punjab</t>
  </si>
  <si>
    <t xml:space="preserve">Ludhiana, Ludhiana Bus Stand, Ludhiana bus, Ludhiana bus stand, bus terminal Ludhiana, Punjab</t>
  </si>
  <si>
    <t xml:space="preserve">PB-AMRITSAR-BUSSTAND-002</t>
  </si>
  <si>
    <t xml:space="preserve">Amritsar Bus Stand</t>
  </si>
  <si>
    <t xml:space="preserve">Amritsar</t>
  </si>
  <si>
    <t xml:space="preserve">Amritsar Inter State Bus Terminal</t>
  </si>
  <si>
    <t xml:space="preserve">Amritsar, Amritsar Bus Stand, Amritsar Inter State Bus Terminal, Amritsar bus, Amritsar bus stand, bus terminal Amritsar, Punjab</t>
  </si>
  <si>
    <t xml:space="preserve">PB-JALANDHA-BUSSTAND-003</t>
  </si>
  <si>
    <t xml:space="preserve">Jalandhar Bus Stand</t>
  </si>
  <si>
    <t xml:space="preserve">Jalandhar</t>
  </si>
  <si>
    <t xml:space="preserve">Jalandhar, Jalandhar Bus Stand, Jalandhar bus, Jalandhar bus stand, bus terminal Jalandhar, Punjab</t>
  </si>
  <si>
    <t xml:space="preserve">PB-PATIALA-BUSSTAND-004</t>
  </si>
  <si>
    <t xml:space="preserve">Patiala Bus Stand</t>
  </si>
  <si>
    <t xml:space="preserve">Patiala</t>
  </si>
  <si>
    <t xml:space="preserve">Patiala, Patiala Bus Stand, Patiala bus, Patiala bus stand, bus terminal Patiala, Punjab</t>
  </si>
  <si>
    <t xml:space="preserve">PB-BATHINDA-BUSSTAND-005</t>
  </si>
  <si>
    <t xml:space="preserve">Bathinda Bus Stand</t>
  </si>
  <si>
    <t xml:space="preserve">Bathinda</t>
  </si>
  <si>
    <t xml:space="preserve">Bathinda, Bathinda Bus Stand, Bathinda bus, Bathinda bus stand, bus terminal Bathinda, Punjab</t>
  </si>
  <si>
    <t xml:space="preserve">PB-MOHALI-BUSSTAND-006</t>
  </si>
  <si>
    <t xml:space="preserve">Mohali Bus Stand</t>
  </si>
  <si>
    <t xml:space="preserve">Mohali</t>
  </si>
  <si>
    <t xml:space="preserve">SAS Nagar Bus Stand</t>
  </si>
  <si>
    <t xml:space="preserve">Mohali, Mohali Bus Stand, SAS Nagar Bus Stand, Mohali bus, Mohali bus stand, bus terminal Mohali, Punjab</t>
  </si>
  <si>
    <t xml:space="preserve">PB-PATHANKO-BUSSTAND-007</t>
  </si>
  <si>
    <t xml:space="preserve">Pathankot Bus Stand</t>
  </si>
  <si>
    <t xml:space="preserve">Pathankot</t>
  </si>
  <si>
    <t xml:space="preserve">Pathankot, Pathankot Bus Stand, Pathankot bus, Pathankot bus stand, bus terminal Pathankot, Punjab</t>
  </si>
  <si>
    <t xml:space="preserve">PB-HOSHIARP-BUSSTAND-008</t>
  </si>
  <si>
    <t xml:space="preserve">Hoshiarpur Bus Stand</t>
  </si>
  <si>
    <t xml:space="preserve">Hoshiarpur</t>
  </si>
  <si>
    <t xml:space="preserve">Hoshiarpur, Hoshiarpur Bus Stand, Hoshiarpur bus, Hoshiarpur bus stand, bus terminal Hoshiarpur, Punjab</t>
  </si>
  <si>
    <t xml:space="preserve">PB-FEROZEPU-BUSSTAND-009</t>
  </si>
  <si>
    <t xml:space="preserve">Ferozepur Bus Stand</t>
  </si>
  <si>
    <t xml:space="preserve">Ferozepur</t>
  </si>
  <si>
    <t xml:space="preserve">Ferozepur, Ferozepur Bus Stand, Ferozepur bus, Ferozepur bus stand, bus terminal Ferozepur, Punjab</t>
  </si>
  <si>
    <t xml:space="preserve">PB-MOGA-BUSSTAND-010</t>
  </si>
  <si>
    <t xml:space="preserve">Moga Bus Stand</t>
  </si>
  <si>
    <t xml:space="preserve">Moga</t>
  </si>
  <si>
    <t xml:space="preserve">Moga, Moga Bus Stand, Moga bus, Moga bus stand, bus terminal Moga, Punjab</t>
  </si>
  <si>
    <t xml:space="preserve">PB-SANGRUR-BUSSTAND-011</t>
  </si>
  <si>
    <t xml:space="preserve">Sangrur Bus Stand</t>
  </si>
  <si>
    <t xml:space="preserve">Sangrur</t>
  </si>
  <si>
    <t xml:space="preserve">Sangrur, Sangrur Bus Stand, Sangrur bus, Sangrur bus stand, bus terminal Sangrur, Punjab</t>
  </si>
  <si>
    <t xml:space="preserve">PB-ROPAR-BUSSTAND-012</t>
  </si>
  <si>
    <t xml:space="preserve">Ropar Bus Stand</t>
  </si>
  <si>
    <t xml:space="preserve">Ropar</t>
  </si>
  <si>
    <t xml:space="preserve">Rupnagar Bus Stand</t>
  </si>
  <si>
    <t xml:space="preserve">Ropar, Ropar Bus Stand, Rupnagar Bus Stand, Ropar bus, Ropar bus stand, bus terminal Ropar, Punjab</t>
  </si>
  <si>
    <t xml:space="preserve">PB-BATALA-BUSSTAND-013</t>
  </si>
  <si>
    <t xml:space="preserve">Batala Bus Stand</t>
  </si>
  <si>
    <t xml:space="preserve">Batala</t>
  </si>
  <si>
    <t xml:space="preserve">Batala, Batala Bus Stand, Batala bus, Batala bus stand, bus terminal Batala, Punjab</t>
  </si>
  <si>
    <t xml:space="preserve">PB-KAPURTHA-BUSSTAND-014</t>
  </si>
  <si>
    <t xml:space="preserve">Kapurthala Bus Stand</t>
  </si>
  <si>
    <t xml:space="preserve">Kapurthala</t>
  </si>
  <si>
    <t xml:space="preserve">Kapurthala, Kapurthala Bus Stand, Kapurthala bus, Kapurthala bus stand, bus terminal Kapurthala, Punjab</t>
  </si>
  <si>
    <t xml:space="preserve">PB-FAZILKA-BUSSTAND-015</t>
  </si>
  <si>
    <t xml:space="preserve">Fazilka Bus Stand</t>
  </si>
  <si>
    <t xml:space="preserve">Fazilka</t>
  </si>
  <si>
    <t xml:space="preserve">Fazilka, Fazilka Bus Stand, Fazilka bus, Fazilka bus stand, bus terminal Fazilka, Punjab</t>
  </si>
  <si>
    <t xml:space="preserve">PB-FARIDKOT-BUSSTAND-016</t>
  </si>
  <si>
    <t xml:space="preserve">Faridkot Bus Stand</t>
  </si>
  <si>
    <t xml:space="preserve">Faridkot</t>
  </si>
  <si>
    <t xml:space="preserve">Faridkot, Faridkot Bus Stand, Faridkot bus, Faridkot bus stand, bus terminal Faridkot, Punjab</t>
  </si>
  <si>
    <t xml:space="preserve">RJ-JAIPUR-SINDHICAMPBU-001</t>
  </si>
  <si>
    <t xml:space="preserve">Sindhi Camp Bus Stand</t>
  </si>
  <si>
    <t xml:space="preserve">Jaipur</t>
  </si>
  <si>
    <t xml:space="preserve">Rajasthan</t>
  </si>
  <si>
    <t xml:space="preserve">Jaipur Bus Stand, Jaipur Central Bus Stand</t>
  </si>
  <si>
    <t xml:space="preserve">Jaipur, Sindhi Camp Bus Stand, Jaipur Bus Stand, Jaipur Central Bus Stand, Jaipur bus, Jaipur bus stand, bus terminal Jaipur, Rajasthan</t>
  </si>
  <si>
    <t xml:space="preserve">RJ-JAIPUR-NARAYANSINGH-002</t>
  </si>
  <si>
    <t xml:space="preserve">Narayan Singh Circle Bus Stand</t>
  </si>
  <si>
    <t xml:space="preserve">Narayan Singh Circle</t>
  </si>
  <si>
    <t xml:space="preserve">Jaipur, Narayan Singh Circle Bus Stand, Narayan Singh Circle, Jaipur bus, Jaipur bus stand, bus terminal Jaipur, Rajasthan</t>
  </si>
  <si>
    <t xml:space="preserve">RJ-JODHPUR-RAIKABAGHBUS-003</t>
  </si>
  <si>
    <t xml:space="preserve">Jodhpur Raika Bagh Bus Stand</t>
  </si>
  <si>
    <t xml:space="preserve">Jodhpur</t>
  </si>
  <si>
    <t xml:space="preserve">Jodhpur Roadways, Jodhpur Bus Stand</t>
  </si>
  <si>
    <t xml:space="preserve">Jodhpur, Jodhpur Raika Bagh Bus Stand, Jodhpur Roadways, Jodhpur Bus Stand, Jodhpur bus, Jodhpur bus stand, bus terminal Jodhpur, Rajasthan</t>
  </si>
  <si>
    <t xml:space="preserve">RJ-UDAIPUR-BUSSTAND-004</t>
  </si>
  <si>
    <t xml:space="preserve">Udaipur Bus Stand</t>
  </si>
  <si>
    <t xml:space="preserve">Udaipur</t>
  </si>
  <si>
    <t xml:space="preserve">Udaipur Roadways</t>
  </si>
  <si>
    <t xml:space="preserve">Udaipur, Udaipur Bus Stand, Udaipur Roadways, Udaipur bus, Udaipur bus stand, bus terminal Udaipur, Rajasthan</t>
  </si>
  <si>
    <t xml:space="preserve">RJ-AJMER-BUSSTAND-005</t>
  </si>
  <si>
    <t xml:space="preserve">Ajmer Bus Stand</t>
  </si>
  <si>
    <t xml:space="preserve">Ajmer</t>
  </si>
  <si>
    <t xml:space="preserve">Ajmer Roadways</t>
  </si>
  <si>
    <t xml:space="preserve">Ajmer, Ajmer Bus Stand, Ajmer Roadways, Ajmer bus, Ajmer bus stand, bus terminal Ajmer, Rajasthan</t>
  </si>
  <si>
    <t xml:space="preserve">RJ-KOTA-BUSSTAND-006</t>
  </si>
  <si>
    <t xml:space="preserve">Kota Bus Stand</t>
  </si>
  <si>
    <t xml:space="preserve">Kota</t>
  </si>
  <si>
    <t xml:space="preserve">Kota Roadways</t>
  </si>
  <si>
    <t xml:space="preserve">Kota, Kota Bus Stand, Kota Roadways, Kota bus, Kota bus stand, bus terminal Kota, Rajasthan</t>
  </si>
  <si>
    <t xml:space="preserve">RJ-BIKANER-BUSSTAND-007</t>
  </si>
  <si>
    <t xml:space="preserve">Bikaner Bus Stand</t>
  </si>
  <si>
    <t xml:space="preserve">Bikaner</t>
  </si>
  <si>
    <t xml:space="preserve">Bikaner, Bikaner Bus Stand, Bikaner bus, Bikaner bus stand, bus terminal Bikaner, Rajasthan</t>
  </si>
  <si>
    <t xml:space="preserve">RJ-JAISALME-BUSSTAND-008</t>
  </si>
  <si>
    <t xml:space="preserve">Jaisalmer Bus Stand</t>
  </si>
  <si>
    <t xml:space="preserve">Jaisalmer</t>
  </si>
  <si>
    <t xml:space="preserve">Jaisalmer, Jaisalmer Bus Stand, Jaisalmer bus, Jaisalmer bus stand, bus terminal Jaisalmer, Rajasthan</t>
  </si>
  <si>
    <t xml:space="preserve">RJ-ALWAR-BUSSTAND-009</t>
  </si>
  <si>
    <t xml:space="preserve">Alwar Bus Stand</t>
  </si>
  <si>
    <t xml:space="preserve">Alwar</t>
  </si>
  <si>
    <t xml:space="preserve">Alwar, Alwar Bus Stand, Alwar bus, Alwar bus stand, bus terminal Alwar, Rajasthan</t>
  </si>
  <si>
    <t xml:space="preserve">RJ-BHARATPU-BUSSTAND-010</t>
  </si>
  <si>
    <t xml:space="preserve">Bharatpur Bus Stand</t>
  </si>
  <si>
    <t xml:space="preserve">Bharatpur</t>
  </si>
  <si>
    <t xml:space="preserve">Bharatpur, Bharatpur Bus Stand, Bharatpur bus, Bharatpur bus stand, bus terminal Bharatpur, Rajasthan</t>
  </si>
  <si>
    <t xml:space="preserve">RJ-PUSHKAR-BUSSTAND-011</t>
  </si>
  <si>
    <t xml:space="preserve">Pushkar Bus Stand</t>
  </si>
  <si>
    <t xml:space="preserve">Pushkar</t>
  </si>
  <si>
    <t xml:space="preserve">Pushkar, Pushkar Bus Stand, Pushkar bus, Pushkar bus stand, bus terminal Pushkar, Rajasthan</t>
  </si>
  <si>
    <t xml:space="preserve">RJ-SIKAR-BUSSTAND-012</t>
  </si>
  <si>
    <t xml:space="preserve">Sikar Bus Stand</t>
  </si>
  <si>
    <t xml:space="preserve">Sikar</t>
  </si>
  <si>
    <t xml:space="preserve">Sikar, Sikar Bus Stand, Sikar bus, Sikar bus stand, bus terminal Sikar, Rajasthan</t>
  </si>
  <si>
    <t xml:space="preserve">RJ-CHITTORG-BUSSTAND-013</t>
  </si>
  <si>
    <t xml:space="preserve">Chittorgarh Bus Stand</t>
  </si>
  <si>
    <t xml:space="preserve">Chittorgarh</t>
  </si>
  <si>
    <t xml:space="preserve">Chittorgarh, Chittorgarh Bus Stand, Chittorgarh bus, Chittorgarh bus stand, bus terminal Chittorgarh, Rajasthan</t>
  </si>
  <si>
    <t xml:space="preserve">RJ-BHILWARA-BUSSTAND-014</t>
  </si>
  <si>
    <t xml:space="preserve">Bhilwara Bus Stand</t>
  </si>
  <si>
    <t xml:space="preserve">Bhilwara</t>
  </si>
  <si>
    <t xml:space="preserve">Bhilwara, Bhilwara Bus Stand, Bhilwara bus, Bhilwara bus stand, bus terminal Bhilwara, Rajasthan</t>
  </si>
  <si>
    <t xml:space="preserve">RJ-JHUNJHUN-BUSSTAND-015</t>
  </si>
  <si>
    <t xml:space="preserve">Jhunjhunu Bus Stand</t>
  </si>
  <si>
    <t xml:space="preserve">Jhunjhunu</t>
  </si>
  <si>
    <t xml:space="preserve">Jhunjhunu, Jhunjhunu Bus Stand, Jhunjhunu bus, Jhunjhunu bus stand, bus terminal Jhunjhunu, Rajasthan</t>
  </si>
  <si>
    <t xml:space="preserve">RJ-SRIGANGA-BUSSTAND-016</t>
  </si>
  <si>
    <t xml:space="preserve">Sri Ganganagar Bus Stand</t>
  </si>
  <si>
    <t xml:space="preserve">Sri Ganganagar</t>
  </si>
  <si>
    <t xml:space="preserve">Sri Ganganagar, Sri Ganganagar Bus Stand, Sri Ganganagar bus, Sri Ganganagar bus stand, bus terminal Sri Ganganagar, Rajasthan</t>
  </si>
  <si>
    <t xml:space="preserve">RJ-MOUNTABU-BUSSTAND-017</t>
  </si>
  <si>
    <t xml:space="preserve">Mount Abu Bus Stand</t>
  </si>
  <si>
    <t xml:space="preserve">Mount Abu</t>
  </si>
  <si>
    <t xml:space="preserve">Mount Abu, Mount Abu Bus Stand, Mount Abu bus, Mount Abu bus stand, bus terminal Mount Abu, Rajasthan</t>
  </si>
  <si>
    <t xml:space="preserve">SK-GANGTOK-SNTBUSSTAND-001</t>
  </si>
  <si>
    <t xml:space="preserve">Gangtok SNT Bus Stand</t>
  </si>
  <si>
    <t xml:space="preserve">Gangtok</t>
  </si>
  <si>
    <t xml:space="preserve">Sikkim</t>
  </si>
  <si>
    <t xml:space="preserve">Sikkim Nationalised Transport Gangtok, SNT Colony Bus Stand</t>
  </si>
  <si>
    <t xml:space="preserve">Gangtok, Gangtok SNT Bus Stand, Sikkim Nationalised Transport Gangtok, SNT Colony Bus Stand, Gangtok bus, Gangtok bus stand, bus terminal Gangtok, Sikkim</t>
  </si>
  <si>
    <t xml:space="preserve">SK-NAMCHI-BUSSTAND-002</t>
  </si>
  <si>
    <t xml:space="preserve">Namchi Bus Stand</t>
  </si>
  <si>
    <t xml:space="preserve">Namchi</t>
  </si>
  <si>
    <t xml:space="preserve">Namchi, Namchi Bus Stand, Namchi bus, Namchi bus stand, bus terminal Namchi, Sikkim</t>
  </si>
  <si>
    <t xml:space="preserve">SK-GYALSHIN-BUSSTAND-003</t>
  </si>
  <si>
    <t xml:space="preserve">Gyalshing Bus Stand</t>
  </si>
  <si>
    <t xml:space="preserve">Gyalshing</t>
  </si>
  <si>
    <t xml:space="preserve">Geyzing Bus Stand</t>
  </si>
  <si>
    <t xml:space="preserve">Gyalshing, Gyalshing Bus Stand, Geyzing Bus Stand, Gyalshing bus, Gyalshing bus stand, bus terminal Gyalshing, Sikkim</t>
  </si>
  <si>
    <t xml:space="preserve">SK-MANGAN-BUSSTAND-004</t>
  </si>
  <si>
    <t xml:space="preserve">Mangan Bus Stand</t>
  </si>
  <si>
    <t xml:space="preserve">Mangan</t>
  </si>
  <si>
    <t xml:space="preserve">Mangan, Mangan Bus Stand, Mangan bus, Mangan bus stand, bus terminal Mangan, Sikkim</t>
  </si>
  <si>
    <t xml:space="preserve">SK-JORETHAN-BUSSTAND-005</t>
  </si>
  <si>
    <t xml:space="preserve">Jorethang Bus Stand</t>
  </si>
  <si>
    <t xml:space="preserve">Jorethang</t>
  </si>
  <si>
    <t xml:space="preserve">Jorethang, Jorethang Bus Stand, Jorethang bus, Jorethang bus stand, bus terminal Jorethang, Sikkim</t>
  </si>
  <si>
    <t xml:space="preserve">TN-CHENNAI-MOFUSSILBUST-001</t>
  </si>
  <si>
    <t xml:space="preserve">Chennai Mofussil Bus Terminus Koyambedu</t>
  </si>
  <si>
    <t xml:space="preserve">Chennai</t>
  </si>
  <si>
    <t xml:space="preserve">Tamil Nadu</t>
  </si>
  <si>
    <t xml:space="preserve">CMBT, Koyambedu Bus Stand</t>
  </si>
  <si>
    <t xml:space="preserve">Chennai, Chennai Mofussil Bus Terminus Koyambedu, CMBT, Koyambedu Bus Stand, Chennai bus, Chennai bus stand, bus terminal Chennai, Tamil Nadu</t>
  </si>
  <si>
    <t xml:space="preserve">TN-CHENNAI-KALAIGNARCEN-002</t>
  </si>
  <si>
    <t xml:space="preserve">Kalaignar Centenary Bus Terminus Kilambakkam</t>
  </si>
  <si>
    <t xml:space="preserve">Kilambakkam Bus Terminus, KCBT</t>
  </si>
  <si>
    <t xml:space="preserve">Chennai, Kalaignar Centenary Bus Terminus Kilambakkam, Kilambakkam Bus Terminus, KCBT, Chennai bus, Chennai bus stand, bus terminal Chennai, Tamil Nadu</t>
  </si>
  <si>
    <t xml:space="preserve">TN-CHENNAI-MADHAVARAMMO-003</t>
  </si>
  <si>
    <t xml:space="preserve">Madhavaram Mofussil Bus Terminus</t>
  </si>
  <si>
    <t xml:space="preserve">Madhavaram Bus Stand</t>
  </si>
  <si>
    <t xml:space="preserve">Chennai, Madhavaram Mofussil Bus Terminus, Madhavaram Bus Stand, Chennai bus, Chennai bus stand, bus terminal Chennai, Tamil Nadu</t>
  </si>
  <si>
    <t xml:space="preserve">TN-CHENNAI-BROADWAYBUST-004</t>
  </si>
  <si>
    <t xml:space="preserve">Broadway Bus Terminus</t>
  </si>
  <si>
    <t xml:space="preserve">Parry's Corner Bus Stand</t>
  </si>
  <si>
    <t xml:space="preserve">Chennai, Broadway Bus Terminus, Parry's Corner Bus Stand, Chennai bus, Chennai bus stand, bus terminal Chennai, Tamil Nadu</t>
  </si>
  <si>
    <t xml:space="preserve">TN-COIMBATO-GANDHIPURAMB-005</t>
  </si>
  <si>
    <t xml:space="preserve">Gandhipuram Bus Stand</t>
  </si>
  <si>
    <t xml:space="preserve">Coimbatore</t>
  </si>
  <si>
    <t xml:space="preserve">Coimbatore Central Bus Stand</t>
  </si>
  <si>
    <t xml:space="preserve">Coimbatore, Gandhipuram Bus Stand, Coimbatore Central Bus Stand, Coimbatore bus, Coimbatore bus stand, bus terminal Coimbatore, Tamil Nadu</t>
  </si>
  <si>
    <t xml:space="preserve">TN-COIMBATO-UKKADAMBUSST-006</t>
  </si>
  <si>
    <t xml:space="preserve">Ukkadam Bus Stand</t>
  </si>
  <si>
    <t xml:space="preserve">Coimbatore Ukkadam</t>
  </si>
  <si>
    <t xml:space="preserve">Coimbatore, Ukkadam Bus Stand, Coimbatore Ukkadam, Coimbatore bus, Coimbatore bus stand, bus terminal Coimbatore, Tamil Nadu</t>
  </si>
  <si>
    <t xml:space="preserve">TN-MADURAI-MATTUTHAVANI-007</t>
  </si>
  <si>
    <t xml:space="preserve">Mattuthavani Integrated Bus Terminus</t>
  </si>
  <si>
    <t xml:space="preserve">Madurai</t>
  </si>
  <si>
    <t xml:space="preserve">MIBT, Madurai Mattuthavani</t>
  </si>
  <si>
    <t xml:space="preserve">Madurai, Mattuthavani Integrated Bus Terminus, MIBT, Madurai Mattuthavani, Madurai bus, Madurai bus stand, bus terminal Madurai, Tamil Nadu</t>
  </si>
  <si>
    <t xml:space="preserve">TN-MADURAI-PERIYARBUSST-008</t>
  </si>
  <si>
    <t xml:space="preserve">Periyar Bus Stand</t>
  </si>
  <si>
    <t xml:space="preserve">Madurai Periyar</t>
  </si>
  <si>
    <t xml:space="preserve">Madurai, Periyar Bus Stand, Madurai Periyar, Madurai bus, Madurai bus stand, bus terminal Madurai, Tamil Nadu</t>
  </si>
  <si>
    <t xml:space="preserve">TN-TIRUCHIR-CHATHIRAMBUS-009</t>
  </si>
  <si>
    <t xml:space="preserve">Chathiram Bus Stand</t>
  </si>
  <si>
    <t xml:space="preserve">Tiruchirappalli</t>
  </si>
  <si>
    <t xml:space="preserve">Trichy Chathiram</t>
  </si>
  <si>
    <t xml:space="preserve">Tiruchirappalli, Chathiram Bus Stand, Trichy Chathiram, Tiruchirappalli bus, Tiruchirappalli bus stand, bus terminal Tiruchirappalli, Tamil Nadu</t>
  </si>
  <si>
    <t xml:space="preserve">TN-TIRUCHIR-CENTRALBUSST-010</t>
  </si>
  <si>
    <t xml:space="preserve">Tiruchirappalli Central Bus Stand</t>
  </si>
  <si>
    <t xml:space="preserve">Trichy Central Bus Stand</t>
  </si>
  <si>
    <t xml:space="preserve">Tiruchirappalli, Tiruchirappalli Central Bus Stand, Trichy Central Bus Stand, Tiruchirappalli bus, Tiruchirappalli bus stand, bus terminal Tiruchirappalli, Tamil Nadu</t>
  </si>
  <si>
    <t xml:space="preserve">TN-SALEM-NEWBUSSTAND-011</t>
  </si>
  <si>
    <t xml:space="preserve">Salem New Bus Stand</t>
  </si>
  <si>
    <t xml:space="preserve">Salem</t>
  </si>
  <si>
    <t xml:space="preserve">Salem, Salem New Bus Stand, Salem bus, Salem bus stand, bus terminal Salem, Tamil Nadu</t>
  </si>
  <si>
    <t xml:space="preserve">TN-TIRUNELV-NEWBUSSTAND-012</t>
  </si>
  <si>
    <t xml:space="preserve">Tirunelveli New Bus Stand</t>
  </si>
  <si>
    <t xml:space="preserve">Tirunelveli</t>
  </si>
  <si>
    <t xml:space="preserve">Tirunelveli, Tirunelveli New Bus Stand, Tirunelveli bus, Tirunelveli bus stand, bus terminal Tirunelveli, Tamil Nadu</t>
  </si>
  <si>
    <t xml:space="preserve">TN-ERODE-BUSSTAND-013</t>
  </si>
  <si>
    <t xml:space="preserve">Erode Bus Stand</t>
  </si>
  <si>
    <t xml:space="preserve">Erode</t>
  </si>
  <si>
    <t xml:space="preserve">Erode, Erode Bus Stand, Erode bus, Erode bus stand, bus terminal Erode, Tamil Nadu</t>
  </si>
  <si>
    <t xml:space="preserve">TN-VELLORE-BUSSTAND-014</t>
  </si>
  <si>
    <t xml:space="preserve">Vellore Bus Stand</t>
  </si>
  <si>
    <t xml:space="preserve">Vellore</t>
  </si>
  <si>
    <t xml:space="preserve">Vellore, Vellore Bus Stand, Vellore bus, Vellore bus stand, bus terminal Vellore, Tamil Nadu</t>
  </si>
  <si>
    <t xml:space="preserve">TN-THANJAVU-BUSSTAND-015</t>
  </si>
  <si>
    <t xml:space="preserve">Thanjavur Bus Stand</t>
  </si>
  <si>
    <t xml:space="preserve">Thanjavur</t>
  </si>
  <si>
    <t xml:space="preserve">Thanjavur, Thanjavur Bus Stand, Thanjavur bus, Thanjavur bus stand, bus terminal Thanjavur, Tamil Nadu</t>
  </si>
  <si>
    <t xml:space="preserve">TN-KANYAKUM-BUSSTAND-016</t>
  </si>
  <si>
    <t xml:space="preserve">Kanyakumari Bus Stand</t>
  </si>
  <si>
    <t xml:space="preserve">Kanyakumari</t>
  </si>
  <si>
    <t xml:space="preserve">Kanyakumari, Kanyakumari Bus Stand, Kanyakumari bus, Kanyakumari bus stand, bus terminal Kanyakumari, Tamil Nadu</t>
  </si>
  <si>
    <t xml:space="preserve">TN-TIRUPPUR-BUSSTAND-017</t>
  </si>
  <si>
    <t xml:space="preserve">Tiruppur Bus Stand</t>
  </si>
  <si>
    <t xml:space="preserve">Tiruppur</t>
  </si>
  <si>
    <t xml:space="preserve">Tiruppur, Tiruppur Bus Stand, Tiruppur bus, Tiruppur bus stand, bus terminal Tiruppur, Tamil Nadu</t>
  </si>
  <si>
    <t xml:space="preserve">TN-UDHAGAMA-OOTYBUSSTAND-018</t>
  </si>
  <si>
    <t xml:space="preserve">Ooty Bus Stand</t>
  </si>
  <si>
    <t xml:space="preserve">Udhagamandalam</t>
  </si>
  <si>
    <t xml:space="preserve">Udhagamandalam, Ooty Bus Stand, Udhagamandalam bus, Udhagamandalam bus stand, bus terminal Udhagamandalam, Tamil Nadu</t>
  </si>
  <si>
    <t xml:space="preserve">TN-KODAIKAN-BUSSTAND-019</t>
  </si>
  <si>
    <t xml:space="preserve">Kodaikanal Bus Stand</t>
  </si>
  <si>
    <t xml:space="preserve">Kodaikanal</t>
  </si>
  <si>
    <t xml:space="preserve">Kodaikanal, Kodaikanal Bus Stand, Kodaikanal bus, Kodaikanal bus stand, bus terminal Kodaikanal, Tamil Nadu</t>
  </si>
  <si>
    <t xml:space="preserve">TN-HOSUR-BUSSTAND-020</t>
  </si>
  <si>
    <t xml:space="preserve">Hosur Bus Stand</t>
  </si>
  <si>
    <t xml:space="preserve">Hosur</t>
  </si>
  <si>
    <t xml:space="preserve">Hosur, Hosur Bus Stand, Hosur bus, Hosur bus stand, bus terminal Hosur, Tamil Nadu</t>
  </si>
  <si>
    <t xml:space="preserve">TN-KUMBAKON-BUSSTAND-021</t>
  </si>
  <si>
    <t xml:space="preserve">Kumbakonam Bus Stand</t>
  </si>
  <si>
    <t xml:space="preserve">Kumbakonam</t>
  </si>
  <si>
    <t xml:space="preserve">Kumbakonam, Kumbakonam Bus Stand, Kumbakonam bus, Kumbakonam bus stand, bus terminal Kumbakonam, Tamil Nadu</t>
  </si>
  <si>
    <t xml:space="preserve">TN-DINDIGUL-BUSSTAND-022</t>
  </si>
  <si>
    <t xml:space="preserve">Dindigul Bus Stand</t>
  </si>
  <si>
    <t xml:space="preserve">Dindigul</t>
  </si>
  <si>
    <t xml:space="preserve">Dindigul, Dindigul Bus Stand, Dindigul bus, Dindigul bus stand, bus terminal Dindigul, Tamil Nadu</t>
  </si>
  <si>
    <t xml:space="preserve">TN-NAGERCOI-BUSSTAND-023</t>
  </si>
  <si>
    <t xml:space="preserve">Nagercoil Bus Stand</t>
  </si>
  <si>
    <t xml:space="preserve">Nagercoil</t>
  </si>
  <si>
    <t xml:space="preserve">Nagercoil, Nagercoil Bus Stand, Nagercoil bus, Nagercoil bus stand, bus terminal Nagercoil, Tamil Nadu</t>
  </si>
  <si>
    <t xml:space="preserve">TN-RAMESWAR-BUSSTAND-024</t>
  </si>
  <si>
    <t xml:space="preserve">Rameswaram Bus Stand</t>
  </si>
  <si>
    <t xml:space="preserve">Rameswaram</t>
  </si>
  <si>
    <t xml:space="preserve">Rameswaram, Rameswaram Bus Stand, Rameswaram bus, Rameswaram bus stand, bus terminal Rameswaram, Tamil Nadu</t>
  </si>
  <si>
    <t xml:space="preserve">TG-HYDERABA-MAHATMAGANDH-001</t>
  </si>
  <si>
    <t xml:space="preserve">Mahatma Gandhi Bus Station</t>
  </si>
  <si>
    <t xml:space="preserve">Hyderabad</t>
  </si>
  <si>
    <t xml:space="preserve">Telangana</t>
  </si>
  <si>
    <t xml:space="preserve">MGBS, Imlibun MGBS, Hyderabad Bus Stand</t>
  </si>
  <si>
    <t xml:space="preserve">Hyderabad, Mahatma Gandhi Bus Station, MGBS, Imlibun MGBS, Hyderabad Bus Stand, Hyderabad bus, Hyderabad bus stand, bus terminal Hyderabad, Telangana</t>
  </si>
  <si>
    <t xml:space="preserve">TG-HYDERABA-JUBILEEBUSST-002</t>
  </si>
  <si>
    <t xml:space="preserve">Jubilee Bus Station</t>
  </si>
  <si>
    <t xml:space="preserve">JBS, Secunderabad Jubilee Bus Station</t>
  </si>
  <si>
    <t xml:space="preserve">Hyderabad, Jubilee Bus Station, JBS, Secunderabad Jubilee Bus Station, Hyderabad bus, Hyderabad bus stand, bus terminal Hyderabad, Telangana</t>
  </si>
  <si>
    <t xml:space="preserve">TG-WARANGAL-HANAMKONDABU-003</t>
  </si>
  <si>
    <t xml:space="preserve">Hanamkonda Bus Station</t>
  </si>
  <si>
    <t xml:space="preserve">Warangal</t>
  </si>
  <si>
    <t xml:space="preserve">Warangal Bus Stand</t>
  </si>
  <si>
    <t xml:space="preserve">Warangal, Hanamkonda Bus Station, Warangal Bus Stand, Warangal bus, Warangal bus stand, bus terminal Warangal, Telangana</t>
  </si>
  <si>
    <t xml:space="preserve">TG-KARIMNAG-BUSSTATION-004</t>
  </si>
  <si>
    <t xml:space="preserve">Karimnagar Bus Station</t>
  </si>
  <si>
    <t xml:space="preserve">Karimnagar</t>
  </si>
  <si>
    <t xml:space="preserve">Karimnagar, Karimnagar Bus Station, Karimnagar bus, Karimnagar bus stand, bus terminal Karimnagar, Telangana</t>
  </si>
  <si>
    <t xml:space="preserve">TG-NIZAMABA-BUSSTATION-005</t>
  </si>
  <si>
    <t xml:space="preserve">Nizamabad Bus Station</t>
  </si>
  <si>
    <t xml:space="preserve">Nizamabad</t>
  </si>
  <si>
    <t xml:space="preserve">Nizamabad, Nizamabad Bus Station, Nizamabad bus, Nizamabad bus stand, bus terminal Nizamabad, Telangana</t>
  </si>
  <si>
    <t xml:space="preserve">TG-KHAMMAM-BUSSTATION-006</t>
  </si>
  <si>
    <t xml:space="preserve">Khammam Bus Station</t>
  </si>
  <si>
    <t xml:space="preserve">Khammam</t>
  </si>
  <si>
    <t xml:space="preserve">Khammam, Khammam Bus Station, Khammam bus, Khammam bus stand, bus terminal Khammam, Telangana</t>
  </si>
  <si>
    <t xml:space="preserve">TG-MAHABUBN-BUSSTATION-007</t>
  </si>
  <si>
    <t xml:space="preserve">Mahabubnagar Bus Station</t>
  </si>
  <si>
    <t xml:space="preserve">Mahabubnagar</t>
  </si>
  <si>
    <t xml:space="preserve">Mahabubnagar, Mahabubnagar Bus Station, Mahabubnagar bus, Mahabubnagar bus stand, bus terminal Mahabubnagar, Telangana</t>
  </si>
  <si>
    <t xml:space="preserve">TG-ADILABAD-BUSSTATION-008</t>
  </si>
  <si>
    <t xml:space="preserve">Adilabad Bus Station</t>
  </si>
  <si>
    <t xml:space="preserve">Adilabad</t>
  </si>
  <si>
    <t xml:space="preserve">Adilabad, Adilabad Bus Station, Adilabad bus, Adilabad bus stand, bus terminal Adilabad, Telangana</t>
  </si>
  <si>
    <t xml:space="preserve">TG-NALGONDA-BUSSTATION-009</t>
  </si>
  <si>
    <t xml:space="preserve">Nalgonda Bus Station</t>
  </si>
  <si>
    <t xml:space="preserve">Nalgonda</t>
  </si>
  <si>
    <t xml:space="preserve">Nalgonda, Nalgonda Bus Station, Nalgonda bus, Nalgonda bus stand, bus terminal Nalgonda, Telangana</t>
  </si>
  <si>
    <t xml:space="preserve">TG-SIDDIPET-BUSSTATION-010</t>
  </si>
  <si>
    <t xml:space="preserve">Siddipet Bus Station</t>
  </si>
  <si>
    <t xml:space="preserve">Siddipet</t>
  </si>
  <si>
    <t xml:space="preserve">Siddipet, Siddipet Bus Station, Siddipet bus, Siddipet bus stand, bus terminal Siddipet, Telangana</t>
  </si>
  <si>
    <t xml:space="preserve">TR-AGARTALA-BATTALABUSST-001</t>
  </si>
  <si>
    <t xml:space="preserve">Agartala Battala Bus Stand</t>
  </si>
  <si>
    <t xml:space="preserve">Agartala</t>
  </si>
  <si>
    <t xml:space="preserve">Tripura</t>
  </si>
  <si>
    <t xml:space="preserve">Battala Bus Stand</t>
  </si>
  <si>
    <t xml:space="preserve">Agartala, Agartala Battala Bus Stand, Battala Bus Stand, Agartala bus, Agartala bus stand, bus terminal Agartala, Tripura</t>
  </si>
  <si>
    <t xml:space="preserve">TR-AGARTALA-RADHANAGARBU-002</t>
  </si>
  <si>
    <t xml:space="preserve">Agartala Radhanagar Bus Stand</t>
  </si>
  <si>
    <t xml:space="preserve">Radhanagar Bus Stand</t>
  </si>
  <si>
    <t xml:space="preserve">Agartala, Agartala Radhanagar Bus Stand, Radhanagar Bus Stand, Agartala bus, Agartala bus stand, bus terminal Agartala, Tripura</t>
  </si>
  <si>
    <t xml:space="preserve">TR-UDAIPUR-TRIPURABUSST-003</t>
  </si>
  <si>
    <t xml:space="preserve">Udaipur Tripura Bus Stand</t>
  </si>
  <si>
    <t xml:space="preserve">Udaipur, Udaipur Tripura Bus Stand, Udaipur bus, Udaipur bus stand, bus terminal Udaipur, Tripura</t>
  </si>
  <si>
    <t xml:space="preserve">TR-DHARMANA-BUSSTAND-004</t>
  </si>
  <si>
    <t xml:space="preserve">Dharmanagar Bus Stand</t>
  </si>
  <si>
    <t xml:space="preserve">Dharmanagar</t>
  </si>
  <si>
    <t xml:space="preserve">Dharmanagar, Dharmanagar Bus Stand, Dharmanagar bus, Dharmanagar bus stand, bus terminal Dharmanagar, Tripura</t>
  </si>
  <si>
    <t xml:space="preserve">TR-KAILASHA-BUSSTAND-005</t>
  </si>
  <si>
    <t xml:space="preserve">Kailashahar Bus Stand</t>
  </si>
  <si>
    <t xml:space="preserve">Kailashahar</t>
  </si>
  <si>
    <t xml:space="preserve">Kailashahar, Kailashahar Bus Stand, Kailashahar bus, Kailashahar bus stand, bus terminal Kailashahar, Tripura</t>
  </si>
  <si>
    <t xml:space="preserve">TR-BELONIA-BUSSTAND-006</t>
  </si>
  <si>
    <t xml:space="preserve">Belonia Bus Stand</t>
  </si>
  <si>
    <t xml:space="preserve">Belonia</t>
  </si>
  <si>
    <t xml:space="preserve">Belonia, Belonia Bus Stand, Belonia bus, Belonia bus stand, bus terminal Belonia, Tripura</t>
  </si>
  <si>
    <t xml:space="preserve">TR-AMBASSA-BUSSTAND-007</t>
  </si>
  <si>
    <t xml:space="preserve">Ambassa Bus Stand</t>
  </si>
  <si>
    <t xml:space="preserve">Ambassa</t>
  </si>
  <si>
    <t xml:space="preserve">Ambassa, Ambassa Bus Stand, Ambassa bus, Ambassa bus stand, bus terminal Ambassa, Tripura</t>
  </si>
  <si>
    <t xml:space="preserve">UP-LUCKNOW-ALAMBAGHBUSS-001</t>
  </si>
  <si>
    <t xml:space="preserve">Alambagh Bus Station</t>
  </si>
  <si>
    <t xml:space="preserve">Lucknow</t>
  </si>
  <si>
    <t xml:space="preserve">Uttar Pradesh</t>
  </si>
  <si>
    <t xml:space="preserve">Alambagh Bus Terminal, Dr Bhimrao Ambedkar Bus Terminal</t>
  </si>
  <si>
    <t xml:space="preserve">Lucknow, Alambagh Bus Station, Alambagh Bus Terminal, Dr Bhimrao Ambedkar Bus Terminal, Lucknow bus, Lucknow bus stand, bus terminal Lucknow, Uttar Pradesh</t>
  </si>
  <si>
    <t xml:space="preserve">UP-LUCKNOW-KAISERBAGHBU-002</t>
  </si>
  <si>
    <t xml:space="preserve">Kaiserbagh Bus Station</t>
  </si>
  <si>
    <t xml:space="preserve">Kaiserbagh</t>
  </si>
  <si>
    <t xml:space="preserve">Lucknow, Kaiserbagh Bus Station, Kaiserbagh, Lucknow bus, Lucknow bus stand, bus terminal Lucknow, Uttar Pradesh</t>
  </si>
  <si>
    <t xml:space="preserve">UP-LUCKNOW-CHARBAGHBUSS-003</t>
  </si>
  <si>
    <t xml:space="preserve">Charbagh Bus Station</t>
  </si>
  <si>
    <t xml:space="preserve">Charbagh</t>
  </si>
  <si>
    <t xml:space="preserve">Lucknow, Charbagh Bus Station, Charbagh, Lucknow bus, Lucknow bus stand, bus terminal Lucknow, Uttar Pradesh</t>
  </si>
  <si>
    <t xml:space="preserve">UP-LUCKNOW-AVADHBUSSTAT-004</t>
  </si>
  <si>
    <t xml:space="preserve">Avadh Bus Station</t>
  </si>
  <si>
    <t xml:space="preserve">Avadh Bus Stand</t>
  </si>
  <si>
    <t xml:space="preserve">Lucknow, Avadh Bus Station, Avadh Bus Stand, Lucknow bus, Lucknow bus stand, bus terminal Lucknow, Uttar Pradesh</t>
  </si>
  <si>
    <t xml:space="preserve">UP-KANPUR-JHAKARKATIBU-005</t>
  </si>
  <si>
    <t xml:space="preserve">Jhakarkati Bus Station</t>
  </si>
  <si>
    <t xml:space="preserve">Kanpur</t>
  </si>
  <si>
    <t xml:space="preserve">Kanpur Bus Stand</t>
  </si>
  <si>
    <t xml:space="preserve">Kanpur, Jhakarkati Bus Station, Kanpur Bus Stand, Kanpur bus, Kanpur bus stand, bus terminal Kanpur, Uttar Pradesh</t>
  </si>
  <si>
    <t xml:space="preserve">UP-KANPUR-RAWATPURBUSS-006</t>
  </si>
  <si>
    <t xml:space="preserve">Rawatpur Bus Station</t>
  </si>
  <si>
    <t xml:space="preserve">Kanpur, Rawatpur Bus Station, Kanpur bus, Kanpur bus stand, bus terminal Kanpur, Uttar Pradesh</t>
  </si>
  <si>
    <t xml:space="preserve">UP-VARANASI-CANTTBUSSTAT-007</t>
  </si>
  <si>
    <t xml:space="preserve">Varanasi Cantt Bus Station</t>
  </si>
  <si>
    <t xml:space="preserve">Varanasi</t>
  </si>
  <si>
    <t xml:space="preserve">Varanasi Roadways, Cantt Bus Stand</t>
  </si>
  <si>
    <t xml:space="preserve">Varanasi, Varanasi Cantt Bus Station, Varanasi Roadways, Cantt Bus Stand, Varanasi bus, Varanasi bus stand, bus terminal Varanasi, Uttar Pradesh</t>
  </si>
  <si>
    <t xml:space="preserve">UP-AGRA-ISBTIDGAH-008</t>
  </si>
  <si>
    <t xml:space="preserve">Agra ISBT Idgah</t>
  </si>
  <si>
    <t xml:space="preserve">Agra</t>
  </si>
  <si>
    <t xml:space="preserve">Idgah Bus Stand, Agra Bus Stand</t>
  </si>
  <si>
    <t xml:space="preserve">Agra, Agra ISBT Idgah, Idgah Bus Stand, Agra Bus Stand, Agra bus, Agra bus stand, bus terminal Agra, Uttar Pradesh</t>
  </si>
  <si>
    <t xml:space="preserve">UP-PRAYAGRA-CIVILLINESBU-009</t>
  </si>
  <si>
    <t xml:space="preserve">Prayagraj Civil Lines Bus Station</t>
  </si>
  <si>
    <t xml:space="preserve">Prayagraj</t>
  </si>
  <si>
    <t xml:space="preserve">Allahabad Civil Lines Bus Stand</t>
  </si>
  <si>
    <t xml:space="preserve">Prayagraj, Prayagraj Civil Lines Bus Station, Allahabad Civil Lines Bus Stand, Prayagraj bus, Prayagraj bus stand, bus terminal Prayagraj, Uttar Pradesh</t>
  </si>
  <si>
    <t xml:space="preserve">UP-NOIDA-SECTOR62BUSS-010</t>
  </si>
  <si>
    <t xml:space="preserve">Noida Sector 62 Bus Stand</t>
  </si>
  <si>
    <t xml:space="preserve">Noida</t>
  </si>
  <si>
    <t xml:space="preserve">Noida Bus Stand</t>
  </si>
  <si>
    <t xml:space="preserve">Noida, Noida Sector 62 Bus Stand, Noida Bus Stand, Noida bus, Noida bus stand, bus terminal Noida, Uttar Pradesh</t>
  </si>
  <si>
    <t xml:space="preserve">UP-GHAZIABA-KAUSHAMBIBUS-011</t>
  </si>
  <si>
    <t xml:space="preserve">Ghaziabad Kaushambi Bus Stand</t>
  </si>
  <si>
    <t xml:space="preserve">Ghaziabad</t>
  </si>
  <si>
    <t xml:space="preserve">Kaushambi Bus Terminal</t>
  </si>
  <si>
    <t xml:space="preserve">Ghaziabad, Ghaziabad Kaushambi Bus Stand, Kaushambi Bus Terminal, Ghaziabad bus, Ghaziabad bus stand, bus terminal Ghaziabad, Uttar Pradesh</t>
  </si>
  <si>
    <t xml:space="preserve">UP-MEERUT-BUSSTAND-012</t>
  </si>
  <si>
    <t xml:space="preserve">Meerut Bus Stand</t>
  </si>
  <si>
    <t xml:space="preserve">Meerut</t>
  </si>
  <si>
    <t xml:space="preserve">Meerut Bhaisali Bus Stand</t>
  </si>
  <si>
    <t xml:space="preserve">Meerut, Meerut Bus Stand, Meerut Bhaisali Bus Stand, Meerut bus, Meerut bus stand, bus terminal Meerut, Uttar Pradesh</t>
  </si>
  <si>
    <t xml:space="preserve">UP-GORAKHPU-BUSSTATION-013</t>
  </si>
  <si>
    <t xml:space="preserve">Gorakhpur Bus Station</t>
  </si>
  <si>
    <t xml:space="preserve">Gorakhpur</t>
  </si>
  <si>
    <t xml:space="preserve">Gorakhpur, Gorakhpur Bus Station, Gorakhpur bus, Gorakhpur bus stand, bus terminal Gorakhpur, Uttar Pradesh</t>
  </si>
  <si>
    <t xml:space="preserve">UP-MATHURA-NEWBUSSTAND-014</t>
  </si>
  <si>
    <t xml:space="preserve">Mathura New Bus Stand</t>
  </si>
  <si>
    <t xml:space="preserve">Mathura</t>
  </si>
  <si>
    <t xml:space="preserve">Mathura, Mathura New Bus Stand, Mathura bus, Mathura bus stand, bus terminal Mathura, Uttar Pradesh</t>
  </si>
  <si>
    <t xml:space="preserve">UP-MORADABA-BUSSTAND-015</t>
  </si>
  <si>
    <t xml:space="preserve">Moradabad Bus Stand</t>
  </si>
  <si>
    <t xml:space="preserve">Moradabad</t>
  </si>
  <si>
    <t xml:space="preserve">Moradabad, Moradabad Bus Stand, Moradabad bus, Moradabad bus stand, bus terminal Moradabad, Uttar Pradesh</t>
  </si>
  <si>
    <t xml:space="preserve">UP-BAREILLY-BUSSTAND-016</t>
  </si>
  <si>
    <t xml:space="preserve">Bareilly Bus Stand</t>
  </si>
  <si>
    <t xml:space="preserve">Bareilly</t>
  </si>
  <si>
    <t xml:space="preserve">Bareilly, Bareilly Bus Stand, Bareilly bus, Bareilly bus stand, bus terminal Bareilly, Uttar Pradesh</t>
  </si>
  <si>
    <t xml:space="preserve">UP-ALIGARH-BUSSTAND-017</t>
  </si>
  <si>
    <t xml:space="preserve">Aligarh Bus Stand</t>
  </si>
  <si>
    <t xml:space="preserve">Aligarh</t>
  </si>
  <si>
    <t xml:space="preserve">Aligarh, Aligarh Bus Stand, Aligarh bus, Aligarh bus stand, bus terminal Aligarh, Uttar Pradesh</t>
  </si>
  <si>
    <t xml:space="preserve">UP-JHANSI-BUSSTAND-018</t>
  </si>
  <si>
    <t xml:space="preserve">Jhansi Bus Stand</t>
  </si>
  <si>
    <t xml:space="preserve">Jhansi</t>
  </si>
  <si>
    <t xml:space="preserve">Jhansi, Jhansi Bus Stand, Jhansi bus, Jhansi bus stand, bus terminal Jhansi, Uttar Pradesh</t>
  </si>
  <si>
    <t xml:space="preserve">UP-AYODHYA-BUSSTATION-019</t>
  </si>
  <si>
    <t xml:space="preserve">Ayodhya Bus Station</t>
  </si>
  <si>
    <t xml:space="preserve">Ayodhya</t>
  </si>
  <si>
    <t xml:space="preserve">Faizabad Bus Stand</t>
  </si>
  <si>
    <t xml:space="preserve">Ayodhya, Ayodhya Bus Station, Faizabad Bus Stand, Ayodhya bus, Ayodhya bus stand, bus terminal Ayodhya, Uttar Pradesh</t>
  </si>
  <si>
    <t xml:space="preserve">UP-SAHARANP-BUSSTAND-020</t>
  </si>
  <si>
    <t xml:space="preserve">Saharanpur Bus Stand</t>
  </si>
  <si>
    <t xml:space="preserve">Saharanpur</t>
  </si>
  <si>
    <t xml:space="preserve">Saharanpur, Saharanpur Bus Stand, Saharanpur bus, Saharanpur bus stand, bus terminal Saharanpur, Uttar Pradesh</t>
  </si>
  <si>
    <t xml:space="preserve">UK-DEHRADUN-ISBT-001</t>
  </si>
  <si>
    <t xml:space="preserve">Dehradun ISBT</t>
  </si>
  <si>
    <t xml:space="preserve">Dehradun</t>
  </si>
  <si>
    <t xml:space="preserve">Uttarakhand</t>
  </si>
  <si>
    <t xml:space="preserve">Maharana Pratap ISBT, Dehradun Bus Stand</t>
  </si>
  <si>
    <t xml:space="preserve">Dehradun, Dehradun ISBT, Maharana Pratap ISBT, Dehradun Bus Stand, Dehradun bus, Dehradun bus stand, bus terminal Dehradun, Uttarakhand</t>
  </si>
  <si>
    <t xml:space="preserve">UK-HARIDWAR-BUSSTAND-002</t>
  </si>
  <si>
    <t xml:space="preserve">Haridwar Bus Stand</t>
  </si>
  <si>
    <t xml:space="preserve">Haridwar</t>
  </si>
  <si>
    <t xml:space="preserve">Haridwar, Haridwar Bus Stand, Haridwar bus, Haridwar bus stand, bus terminal Haridwar, Uttarakhand</t>
  </si>
  <si>
    <t xml:space="preserve">UK-RISHIKES-BUSSTAND-003</t>
  </si>
  <si>
    <t xml:space="preserve">Rishikesh Bus Stand</t>
  </si>
  <si>
    <t xml:space="preserve">Rishikesh</t>
  </si>
  <si>
    <t xml:space="preserve">Rishikesh, Rishikesh Bus Stand, Rishikesh bus, Rishikesh bus stand, bus terminal Rishikesh, Uttarakhand</t>
  </si>
  <si>
    <t xml:space="preserve">UK-HALDWANI-BUSSTAND-004</t>
  </si>
  <si>
    <t xml:space="preserve">Haldwani Bus Stand</t>
  </si>
  <si>
    <t xml:space="preserve">Haldwani</t>
  </si>
  <si>
    <t xml:space="preserve">Haldwani, Haldwani Bus Stand, Haldwani bus, Haldwani bus stand, bus terminal Haldwani, Uttarakhand</t>
  </si>
  <si>
    <t xml:space="preserve">UK-NAINITAL-TALLITALBUSS-005</t>
  </si>
  <si>
    <t xml:space="preserve">Nainital Tallital Bus Stand</t>
  </si>
  <si>
    <t xml:space="preserve">Nainital</t>
  </si>
  <si>
    <t xml:space="preserve">Nainital Bus Stand</t>
  </si>
  <si>
    <t xml:space="preserve">Nainital, Nainital Tallital Bus Stand, Nainital Bus Stand, Nainital bus, Nainital bus stand, bus terminal Nainital, Uttarakhand</t>
  </si>
  <si>
    <t xml:space="preserve">UK-ROORKEE-BUSSTAND-006</t>
  </si>
  <si>
    <t xml:space="preserve">Roorkee Bus Stand</t>
  </si>
  <si>
    <t xml:space="preserve">Roorkee</t>
  </si>
  <si>
    <t xml:space="preserve">Roorkee, Roorkee Bus Stand, Roorkee bus, Roorkee bus stand, bus terminal Roorkee, Uttarakhand</t>
  </si>
  <si>
    <t xml:space="preserve">UK-KASHIPUR-BUSSTAND-007</t>
  </si>
  <si>
    <t xml:space="preserve">Kashipur Bus Stand</t>
  </si>
  <si>
    <t xml:space="preserve">Kashipur</t>
  </si>
  <si>
    <t xml:space="preserve">Kashipur, Kashipur Bus Stand, Kashipur bus, Kashipur bus stand, bus terminal Kashipur, Uttarakhand</t>
  </si>
  <si>
    <t xml:space="preserve">UK-MUSSOORI-BUSSTAND-008</t>
  </si>
  <si>
    <t xml:space="preserve">Mussoorie Bus Stand</t>
  </si>
  <si>
    <t xml:space="preserve">Mussoorie</t>
  </si>
  <si>
    <t xml:space="preserve">Mussoorie, Mussoorie Bus Stand, Mussoorie bus, Mussoorie bus stand, bus terminal Mussoorie, Uttarakhand</t>
  </si>
  <si>
    <t xml:space="preserve">UK-RUDRAPUR-BUSSTAND-009</t>
  </si>
  <si>
    <t xml:space="preserve">Rudrapur Bus Stand</t>
  </si>
  <si>
    <t xml:space="preserve">Rudrapur</t>
  </si>
  <si>
    <t xml:space="preserve">Rudrapur, Rudrapur Bus Stand, Rudrapur bus, Rudrapur bus stand, bus terminal Rudrapur, Uttarakhand</t>
  </si>
  <si>
    <t xml:space="preserve">UK-ALMORA-BUSSTAND-010</t>
  </si>
  <si>
    <t xml:space="preserve">Almora Bus Stand</t>
  </si>
  <si>
    <t xml:space="preserve">Almora</t>
  </si>
  <si>
    <t xml:space="preserve">Almora, Almora Bus Stand, Almora bus, Almora bus stand, bus terminal Almora, Uttarakhand</t>
  </si>
  <si>
    <t xml:space="preserve">UK-PITHORAG-BUSSTAND-011</t>
  </si>
  <si>
    <t xml:space="preserve">Pithoragarh Bus Stand</t>
  </si>
  <si>
    <t xml:space="preserve">Pithoragarh</t>
  </si>
  <si>
    <t xml:space="preserve">Pithoragarh, Pithoragarh Bus Stand, Pithoragarh bus, Pithoragarh bus stand, bus terminal Pithoragarh, Uttarakhand</t>
  </si>
  <si>
    <t xml:space="preserve">AN-PORTBLAI-BUSSTAND-001</t>
  </si>
  <si>
    <t xml:space="preserve">Port Blair Bus Stand</t>
  </si>
  <si>
    <t xml:space="preserve">Port Blair</t>
  </si>
  <si>
    <t xml:space="preserve">Andaman and Nicobar Islands</t>
  </si>
  <si>
    <t xml:space="preserve">Aberdeen Bus Stand</t>
  </si>
  <si>
    <t xml:space="preserve">Port Blair, Port Blair Bus Stand, Aberdeen Bus Stand, Port Blair bus, Port Blair bus stand, bus terminal Port Blair, Andaman and Nicobar Islands</t>
  </si>
  <si>
    <t xml:space="preserve">AN-RANGAT-BUSSTAND-002</t>
  </si>
  <si>
    <t xml:space="preserve">Rangat Bus Stand</t>
  </si>
  <si>
    <t xml:space="preserve">Rangat</t>
  </si>
  <si>
    <t xml:space="preserve">Rangat, Rangat Bus Stand, Rangat bus, Rangat bus stand, bus terminal Rangat, Andaman and Nicobar Islands</t>
  </si>
  <si>
    <t xml:space="preserve">AN-MAYABUND-BUSSTAND-003</t>
  </si>
  <si>
    <t xml:space="preserve">Mayabunder Bus Stand</t>
  </si>
  <si>
    <t xml:space="preserve">Mayabunder</t>
  </si>
  <si>
    <t xml:space="preserve">Mayabunder, Mayabunder Bus Stand, Mayabunder bus, Mayabunder bus stand, bus terminal Mayabunder, Andaman and Nicobar Islands</t>
  </si>
  <si>
    <t xml:space="preserve">AN-DIGLIPUR-BUSSTAND-004</t>
  </si>
  <si>
    <t xml:space="preserve">Diglipur Bus Stand</t>
  </si>
  <si>
    <t xml:space="preserve">Diglipur</t>
  </si>
  <si>
    <t xml:space="preserve">Diglipur, Diglipur Bus Stand, Diglipur bus, Diglipur bus stand, bus terminal Diglipur, Andaman and Nicobar Islands</t>
  </si>
  <si>
    <t xml:space="preserve">CH-CHANDIGA-ISBTSECTOR17-001</t>
  </si>
  <si>
    <t xml:space="preserve">ISBT Sector 17</t>
  </si>
  <si>
    <t xml:space="preserve">Chandigarh</t>
  </si>
  <si>
    <t xml:space="preserve">Chandigarh Bus Stand, Sector 17 Bus Stand</t>
  </si>
  <si>
    <t xml:space="preserve">Chandigarh, ISBT Sector 17, Chandigarh Bus Stand, Sector 17 Bus Stand, Chandigarh bus, Chandigarh bus stand, bus terminal Chandigarh</t>
  </si>
  <si>
    <t xml:space="preserve">CH-CHANDIGA-ISBTSECTOR43-002</t>
  </si>
  <si>
    <t xml:space="preserve">ISBT Sector 43</t>
  </si>
  <si>
    <t xml:space="preserve">Sector 43 Bus Stand</t>
  </si>
  <si>
    <t xml:space="preserve">Chandigarh, ISBT Sector 43, Sector 43 Bus Stand, Chandigarh bus, Chandigarh bus stand, bus terminal Chandigarh</t>
  </si>
  <si>
    <t xml:space="preserve">DD-SILVASSA-BUSSTAND-001</t>
  </si>
  <si>
    <t xml:space="preserve">Silvassa Bus Stand</t>
  </si>
  <si>
    <t xml:space="preserve">Silvassa</t>
  </si>
  <si>
    <t xml:space="preserve">Dadra and Nagar Haveli and Daman and Diu</t>
  </si>
  <si>
    <t xml:space="preserve">Silvassa, Silvassa Bus Stand, Silvassa bus, Silvassa bus stand, bus terminal Silvassa, Dadra and Nagar Haveli and Daman and Diu</t>
  </si>
  <si>
    <t xml:space="preserve">DD-DAMAN-BUSSTAND-002</t>
  </si>
  <si>
    <t xml:space="preserve">Daman Bus Stand</t>
  </si>
  <si>
    <t xml:space="preserve">Daman</t>
  </si>
  <si>
    <t xml:space="preserve">Daman, Daman Bus Stand, Daman bus, Daman bus stand, bus terminal Daman, Dadra and Nagar Haveli and Daman and Diu</t>
  </si>
  <si>
    <t xml:space="preserve">DD-DIU-BUSSTAND-003</t>
  </si>
  <si>
    <t xml:space="preserve">Diu Bus Stand</t>
  </si>
  <si>
    <t xml:space="preserve">Diu</t>
  </si>
  <si>
    <t xml:space="preserve">Diu, Diu Bus Stand, Diu bus, Diu bus stand, bus terminal Diu, Dadra and Nagar Haveli and Daman and Diu</t>
  </si>
  <si>
    <t xml:space="preserve">DL-DELHI-KASHMEREGATE-001</t>
  </si>
  <si>
    <t xml:space="preserve">Kashmere Gate ISBT</t>
  </si>
  <si>
    <t xml:space="preserve">Delhi</t>
  </si>
  <si>
    <t xml:space="preserve">Maharana Pratap ISBT Kashmere Gate, Kashmiri Gate Bus Stand, ISBT Delhi</t>
  </si>
  <si>
    <t xml:space="preserve">Delhi, Kashmere Gate ISBT, Maharana Pratap ISBT Kashmere Gate, Kashmiri Gate Bus Stand, ISBT Delhi, Delhi bus, Delhi bus stand, bus terminal Delhi</t>
  </si>
  <si>
    <t xml:space="preserve">DL-DELHI-ANANDVIHARIS-002</t>
  </si>
  <si>
    <t xml:space="preserve">Anand Vihar ISBT</t>
  </si>
  <si>
    <t xml:space="preserve">Anand Vihar Bus Terminal, Anand Vihar Bus Stand</t>
  </si>
  <si>
    <t xml:space="preserve">Delhi, Anand Vihar ISBT, Anand Vihar Bus Terminal, Anand Vihar Bus Stand, Delhi bus, Delhi bus stand, bus terminal Delhi</t>
  </si>
  <si>
    <t xml:space="preserve">https://patnapress.com/bsrtc-festive-season-bus-services/</t>
  </si>
  <si>
    <t xml:space="preserve">Patna Press - BSRTC festive services</t>
  </si>
  <si>
    <t xml:space="preserve">DL-DELHI-SARAIKALEKHA-003</t>
  </si>
  <si>
    <t xml:space="preserve">Sarai Kale Khan ISBT</t>
  </si>
  <si>
    <t xml:space="preserve">Veer Hakikat Rai ISBT, Sarai Kale Khan Bus Stand</t>
  </si>
  <si>
    <t xml:space="preserve">Delhi, Sarai Kale Khan ISBT, Veer Hakikat Rai ISBT, Sarai Kale Khan Bus Stand, Delhi bus, Delhi bus stand, bus terminal Delhi</t>
  </si>
  <si>
    <t xml:space="preserve">DL-DELHI-NEHRUPLACEBU-004</t>
  </si>
  <si>
    <t xml:space="preserve">Nehru Place Bus Terminal</t>
  </si>
  <si>
    <t xml:space="preserve">Nehru Place</t>
  </si>
  <si>
    <t xml:space="preserve">Delhi, Nehru Place Bus Terminal, Nehru Place, Delhi bus, Delhi bus stand, bus terminal Delhi</t>
  </si>
  <si>
    <t xml:space="preserve">DL-DELHI-MORIGATEBUST-005</t>
  </si>
  <si>
    <t xml:space="preserve">Mori Gate Bus Terminal</t>
  </si>
  <si>
    <t xml:space="preserve">Mori Gate</t>
  </si>
  <si>
    <t xml:space="preserve">Delhi, Mori Gate Bus Terminal, Mori Gate, Delhi bus, Delhi bus stand, bus terminal Delhi</t>
  </si>
  <si>
    <t xml:space="preserve">JK-SRINAGAR-BATAMALOOBUS-001</t>
  </si>
  <si>
    <t xml:space="preserve">Srinagar Batamaloo Bus Stand</t>
  </si>
  <si>
    <t xml:space="preserve">Srinagar</t>
  </si>
  <si>
    <t xml:space="preserve">Jammu and Kashmir</t>
  </si>
  <si>
    <t xml:space="preserve">Batamaloo Bus Stand</t>
  </si>
  <si>
    <t xml:space="preserve">Srinagar, Srinagar Batamaloo Bus Stand, Batamaloo Bus Stand, Srinagar bus, Srinagar bus stand, bus terminal Srinagar, Jammu and Kashmir</t>
  </si>
  <si>
    <t xml:space="preserve">JK-SRINAGAR-PARIMPORATRA-002</t>
  </si>
  <si>
    <t xml:space="preserve">Parimpora Transport Yard</t>
  </si>
  <si>
    <t xml:space="preserve">Parimpora</t>
  </si>
  <si>
    <t xml:space="preserve">Srinagar, Parimpora Transport Yard, Parimpora, Srinagar bus, Srinagar bus stand, bus terminal Srinagar, Jammu and Kashmir</t>
  </si>
  <si>
    <t xml:space="preserve">JK-JAMMU-BUSSTAND-003</t>
  </si>
  <si>
    <t xml:space="preserve">Jammu Bus Stand</t>
  </si>
  <si>
    <t xml:space="preserve">Jammu</t>
  </si>
  <si>
    <t xml:space="preserve">Jammu Railway Road Bus Stand, Jammu New Bus Stand</t>
  </si>
  <si>
    <t xml:space="preserve">Jammu, Jammu Bus Stand, Jammu Railway Road Bus Stand, Jammu New Bus Stand, Jammu bus, Jammu bus stand, bus terminal Jammu, Jammu and Kashmir</t>
  </si>
  <si>
    <t xml:space="preserve">JK-KATRA-BUSSTAND-004</t>
  </si>
  <si>
    <t xml:space="preserve">Katra Bus Stand</t>
  </si>
  <si>
    <t xml:space="preserve">Katra</t>
  </si>
  <si>
    <t xml:space="preserve">Vaishno Devi Bus Stand</t>
  </si>
  <si>
    <t xml:space="preserve">Katra, Katra Bus Stand, Vaishno Devi Bus Stand, Katra bus, Katra bus stand, bus terminal Katra, Jammu and Kashmir</t>
  </si>
  <si>
    <t xml:space="preserve">JK-ANANTNAG-BUSSTAND-005</t>
  </si>
  <si>
    <t xml:space="preserve">Anantnag Bus Stand</t>
  </si>
  <si>
    <t xml:space="preserve">Anantnag</t>
  </si>
  <si>
    <t xml:space="preserve">Anantnag, Anantnag Bus Stand, Anantnag bus, Anantnag bus stand, bus terminal Anantnag, Jammu and Kashmir</t>
  </si>
  <si>
    <t xml:space="preserve">JK-BARAMULL-BUSSTAND-006</t>
  </si>
  <si>
    <t xml:space="preserve">Baramulla Bus Stand</t>
  </si>
  <si>
    <t xml:space="preserve">Baramulla</t>
  </si>
  <si>
    <t xml:space="preserve">Baramulla, Baramulla Bus Stand, Baramulla bus, Baramulla bus stand, bus terminal Baramulla, Jammu and Kashmir</t>
  </si>
  <si>
    <t xml:space="preserve">JK-UDHAMPUR-BUSSTAND-007</t>
  </si>
  <si>
    <t xml:space="preserve">Udhampur Bus Stand</t>
  </si>
  <si>
    <t xml:space="preserve">Udhampur</t>
  </si>
  <si>
    <t xml:space="preserve">Udhampur, Udhampur Bus Stand, Udhampur bus, Udhampur bus stand, bus terminal Udhampur, Jammu and Kashmir</t>
  </si>
  <si>
    <t xml:space="preserve">JK-KATHUA-BUSSTAND-008</t>
  </si>
  <si>
    <t xml:space="preserve">Kathua Bus Stand</t>
  </si>
  <si>
    <t xml:space="preserve">Kathua</t>
  </si>
  <si>
    <t xml:space="preserve">Kathua, Kathua Bus Stand, Kathua bus, Kathua bus stand, bus terminal Kathua, Jammu and Kashmir</t>
  </si>
  <si>
    <t xml:space="preserve">JK-POONCH-BUSSTAND-009</t>
  </si>
  <si>
    <t xml:space="preserve">Poonch Bus Stand</t>
  </si>
  <si>
    <t xml:space="preserve">Poonch</t>
  </si>
  <si>
    <t xml:space="preserve">Poonch, Poonch Bus Stand, Poonch bus, Poonch bus stand, bus terminal Poonch, Jammu and Kashmir</t>
  </si>
  <si>
    <t xml:space="preserve">JK-KUPWARA-BUSSTAND-010</t>
  </si>
  <si>
    <t xml:space="preserve">Kupwara Bus Stand</t>
  </si>
  <si>
    <t xml:space="preserve">Kupwara</t>
  </si>
  <si>
    <t xml:space="preserve">Kupwara, Kupwara Bus Stand, Kupwara bus, Kupwara bus stand, bus terminal Kupwara, Jammu and Kashmir</t>
  </si>
  <si>
    <t xml:space="preserve">LA-LEH-BUSSTAND-001</t>
  </si>
  <si>
    <t xml:space="preserve">Leh Bus Stand</t>
  </si>
  <si>
    <t xml:space="preserve">Leh</t>
  </si>
  <si>
    <t xml:space="preserve">Ladakh</t>
  </si>
  <si>
    <t xml:space="preserve">Leh Main Bus Stand</t>
  </si>
  <si>
    <t xml:space="preserve">Leh, Leh Bus Stand, Leh Main Bus Stand, Leh bus, Leh bus stand, bus terminal Leh, Ladakh</t>
  </si>
  <si>
    <t xml:space="preserve">LA-KARGIL-BUSSTAND-002</t>
  </si>
  <si>
    <t xml:space="preserve">Kargil Bus Stand</t>
  </si>
  <si>
    <t xml:space="preserve">Kargil</t>
  </si>
  <si>
    <t xml:space="preserve">Kargil, Kargil Bus Stand, Kargil bus, Kargil bus stand, bus terminal Kargil, Ladakh</t>
  </si>
  <si>
    <t xml:space="preserve">PY-PUDUCHER-NEWBUSSTAND-001</t>
  </si>
  <si>
    <t xml:space="preserve">Puducherry New Bus Stand</t>
  </si>
  <si>
    <t xml:space="preserve">Puducherry</t>
  </si>
  <si>
    <t xml:space="preserve">Pondicherry Bus Stand</t>
  </si>
  <si>
    <t xml:space="preserve">Puducherry, Puducherry New Bus Stand, Pondicherry Bus Stand, Puducherry bus, Puducherry bus stand, bus terminal Puducherry</t>
  </si>
  <si>
    <t xml:space="preserve">PY-KARAIKAL-BUSSTAND-002</t>
  </si>
  <si>
    <t xml:space="preserve">Karaikal Bus Stand</t>
  </si>
  <si>
    <t xml:space="preserve">Karaikal</t>
  </si>
  <si>
    <t xml:space="preserve">Karaikal, Karaikal Bus Stand, Karaikal bus, Karaikal bus stand, bus terminal Karaikal, Puducherry</t>
  </si>
  <si>
    <t xml:space="preserve">PY-MAHE-BUSSTAND-003</t>
  </si>
  <si>
    <t xml:space="preserve">Mahe Bus Stand</t>
  </si>
  <si>
    <t xml:space="preserve">Mahe</t>
  </si>
  <si>
    <t xml:space="preserve">Mahe, Mahe Bus Stand, Mahe bus, Mahe bus stand, bus terminal Mahe, Puducherry</t>
  </si>
  <si>
    <t xml:space="preserve">PY-YANAM-BUSSTAND-004</t>
  </si>
  <si>
    <t xml:space="preserve">Yanam Bus Stand</t>
  </si>
  <si>
    <t xml:space="preserve">Yanam</t>
  </si>
  <si>
    <t xml:space="preserve">Yanam, Yanam Bus Stand, Yanam bus, Yanam bus stand, bus terminal Yanam, Puducherry</t>
  </si>
  <si>
    <t xml:space="preserve">City_ID</t>
  </si>
  <si>
    <t xml:space="preserve">City_Name</t>
  </si>
  <si>
    <t xml:space="preserve">Major_City</t>
  </si>
  <si>
    <t xml:space="preserve">Major_Bus_Hub</t>
  </si>
  <si>
    <t xml:space="preserve">Search_Name</t>
  </si>
  <si>
    <t xml:space="preserve">WB-CITY-ALIPURDUAR-0001</t>
  </si>
  <si>
    <t xml:space="preserve">alipurduar</t>
  </si>
  <si>
    <t xml:space="preserve">WB-CITY-ARAMBAGH-0002</t>
  </si>
  <si>
    <t xml:space="preserve">arambagh</t>
  </si>
  <si>
    <t xml:space="preserve">WB-CITY-ASANSOL-0003</t>
  </si>
  <si>
    <t xml:space="preserve">asansol</t>
  </si>
  <si>
    <t xml:space="preserve">WB-CITY-BALURGHAT-0004</t>
  </si>
  <si>
    <t xml:space="preserve">balurghat</t>
  </si>
  <si>
    <t xml:space="preserve">WB-CITY-BANKURA-0005</t>
  </si>
  <si>
    <t xml:space="preserve">bankura</t>
  </si>
  <si>
    <t xml:space="preserve">WB-CITY-BARASAT-0006</t>
  </si>
  <si>
    <t xml:space="preserve">barasat</t>
  </si>
  <si>
    <t xml:space="preserve">WB-CITY-BARDHAMAN-0007</t>
  </si>
  <si>
    <t xml:space="preserve">bardhaman, burdwan</t>
  </si>
  <si>
    <t xml:space="preserve">Burdwan</t>
  </si>
  <si>
    <t xml:space="preserve">WB-CITY-BASIRHAT-0008</t>
  </si>
  <si>
    <t xml:space="preserve">basirhat</t>
  </si>
  <si>
    <t xml:space="preserve">WB-CITY-BERHAMPORE-0009</t>
  </si>
  <si>
    <t xml:space="preserve">berhampore, baharampur</t>
  </si>
  <si>
    <t xml:space="preserve">Baharampur</t>
  </si>
  <si>
    <t xml:space="preserve">WB-CITY-BISHNUPUR-0010</t>
  </si>
  <si>
    <t xml:space="preserve">bishnupur</t>
  </si>
  <si>
    <t xml:space="preserve">WB-CITY-BOLPUR-0011</t>
  </si>
  <si>
    <t xml:space="preserve">bolpur</t>
  </si>
  <si>
    <t xml:space="preserve">WB-CITY-COOCHBEHAR-0012</t>
  </si>
  <si>
    <t xml:space="preserve">cooch behar</t>
  </si>
  <si>
    <t xml:space="preserve">WB-CITY-DARJEELING-0013</t>
  </si>
  <si>
    <t xml:space="preserve">darjeeling</t>
  </si>
  <si>
    <t xml:space="preserve">WB-CITY-DHULIAN-0014</t>
  </si>
  <si>
    <t xml:space="preserve">dhulian</t>
  </si>
  <si>
    <t xml:space="preserve">WB-CITY-DIGHA-0015</t>
  </si>
  <si>
    <t xml:space="preserve">digha</t>
  </si>
  <si>
    <t xml:space="preserve">WB-CITY-DURGAPUR-0016</t>
  </si>
  <si>
    <t xml:space="preserve">durgapur</t>
  </si>
  <si>
    <t xml:space="preserve">WB-CITY-HALDIA-0017</t>
  </si>
  <si>
    <t xml:space="preserve">haldia</t>
  </si>
  <si>
    <t xml:space="preserve">WB-CITY-HOWRAH-0018</t>
  </si>
  <si>
    <t xml:space="preserve">howrah</t>
  </si>
  <si>
    <t xml:space="preserve">WB-CITY-JALPAIGURI-0019</t>
  </si>
  <si>
    <t xml:space="preserve">jalpaiguri</t>
  </si>
  <si>
    <t xml:space="preserve">WB-CITY-JHARGRAM-0020</t>
  </si>
  <si>
    <t xml:space="preserve">jhargram</t>
  </si>
  <si>
    <t xml:space="preserve">WB-CITY-KALIMPONG-0021</t>
  </si>
  <si>
    <t xml:space="preserve">kalimpong</t>
  </si>
  <si>
    <t xml:space="preserve">WB-CITY-KALYANI-0022</t>
  </si>
  <si>
    <t xml:space="preserve">kalyani</t>
  </si>
  <si>
    <t xml:space="preserve">WB-CITY-KHARAGPUR-0023</t>
  </si>
  <si>
    <t xml:space="preserve">kharagpur</t>
  </si>
  <si>
    <t xml:space="preserve">WB-CITY-KOLKATA-0024</t>
  </si>
  <si>
    <t xml:space="preserve">kolkata, calcutta</t>
  </si>
  <si>
    <t xml:space="preserve">Calcutta</t>
  </si>
  <si>
    <t xml:space="preserve">WB-CITY-KRISHNANAGAR-0025</t>
  </si>
  <si>
    <t xml:space="preserve">krishnanagar</t>
  </si>
  <si>
    <t xml:space="preserve">WB-CITY-MALDA-0026</t>
  </si>
  <si>
    <t xml:space="preserve">malda</t>
  </si>
  <si>
    <t xml:space="preserve">WB-CITY-MAYAPUR-0027</t>
  </si>
  <si>
    <t xml:space="preserve">mayapur</t>
  </si>
  <si>
    <t xml:space="preserve">WB-CITY-MIDNAPORE-0028</t>
  </si>
  <si>
    <t xml:space="preserve">midnapore, medinipur</t>
  </si>
  <si>
    <t xml:space="preserve">Medinipur</t>
  </si>
  <si>
    <t xml:space="preserve">WB-CITY-PURULIA-0029</t>
  </si>
  <si>
    <t xml:space="preserve">purulia</t>
  </si>
  <si>
    <t xml:space="preserve">WB-CITY-RAIGANJ-0030</t>
  </si>
  <si>
    <t xml:space="preserve">raiganj</t>
  </si>
  <si>
    <t xml:space="preserve">WB-CITY-RAMPURHAT-0031</t>
  </si>
  <si>
    <t xml:space="preserve">rampurhat</t>
  </si>
  <si>
    <t xml:space="preserve">WB-CITY-RANIGANJ-0032</t>
  </si>
  <si>
    <t xml:space="preserve">raniganj</t>
  </si>
  <si>
    <t xml:space="preserve">WB-CITY-SILIGURI-0033</t>
  </si>
  <si>
    <t xml:space="preserve">siliguri</t>
  </si>
  <si>
    <t xml:space="preserve">WB-CITY-SURI-0034</t>
  </si>
  <si>
    <t xml:space="preserve">suri</t>
  </si>
  <si>
    <t xml:space="preserve">WB-CITY-TAMLUK-0035</t>
  </si>
  <si>
    <t xml:space="preserve">tamluk</t>
  </si>
  <si>
    <t xml:space="preserve">AP-CITY-ANANTAPUR-0036</t>
  </si>
  <si>
    <t xml:space="preserve">anantapur</t>
  </si>
  <si>
    <t xml:space="preserve">AP-CITY-GUNTUR-0037</t>
  </si>
  <si>
    <t xml:space="preserve">guntur</t>
  </si>
  <si>
    <t xml:space="preserve">AP-CITY-KADAPA-0038</t>
  </si>
  <si>
    <t xml:space="preserve">kadapa</t>
  </si>
  <si>
    <t xml:space="preserve">AP-CITY-KAKINADA-0039</t>
  </si>
  <si>
    <t xml:space="preserve">kakinada</t>
  </si>
  <si>
    <t xml:space="preserve">AP-CITY-KURNOOL-0040</t>
  </si>
  <si>
    <t xml:space="preserve">kurnool</t>
  </si>
  <si>
    <t xml:space="preserve">AP-CITY-MACHILIPATNA-0041</t>
  </si>
  <si>
    <t xml:space="preserve">machilipatnam</t>
  </si>
  <si>
    <t xml:space="preserve">AP-CITY-NELLORE-0042</t>
  </si>
  <si>
    <t xml:space="preserve">nellore</t>
  </si>
  <si>
    <t xml:space="preserve">AP-CITY-ONGOLE-0043</t>
  </si>
  <si>
    <t xml:space="preserve">ongole</t>
  </si>
  <si>
    <t xml:space="preserve">AP-CITY-RAJAHMUNDRY-0044</t>
  </si>
  <si>
    <t xml:space="preserve">rajahmundry</t>
  </si>
  <si>
    <t xml:space="preserve">AP-CITY-TIRUMALA-0045</t>
  </si>
  <si>
    <t xml:space="preserve">tirumala</t>
  </si>
  <si>
    <t xml:space="preserve">AP-CITY-TIRUPATI-0046</t>
  </si>
  <si>
    <t xml:space="preserve">tirupati</t>
  </si>
  <si>
    <t xml:space="preserve">AP-CITY-VIJAYAWADA-0047</t>
  </si>
  <si>
    <t xml:space="preserve">vijayawada</t>
  </si>
  <si>
    <t xml:space="preserve">AP-CITY-VISAKHAPATNA-0048</t>
  </si>
  <si>
    <t xml:space="preserve">visakhapatnam</t>
  </si>
  <si>
    <t xml:space="preserve">AP-CITY-VIZIANAGARAM-0049</t>
  </si>
  <si>
    <t xml:space="preserve">vizianagaram</t>
  </si>
  <si>
    <t xml:space="preserve">AR-CITY-ALONG-0050</t>
  </si>
  <si>
    <t xml:space="preserve">along</t>
  </si>
  <si>
    <t xml:space="preserve">AR-CITY-BOMDILA-0051</t>
  </si>
  <si>
    <t xml:space="preserve">bomdila</t>
  </si>
  <si>
    <t xml:space="preserve">AR-CITY-ITANAGAR-0052</t>
  </si>
  <si>
    <t xml:space="preserve">itanagar</t>
  </si>
  <si>
    <t xml:space="preserve">AR-CITY-NAHARLAGUN-0053</t>
  </si>
  <si>
    <t xml:space="preserve">naharlagun</t>
  </si>
  <si>
    <t xml:space="preserve">AR-CITY-PASIGHAT-0054</t>
  </si>
  <si>
    <t xml:space="preserve">pasighat</t>
  </si>
  <si>
    <t xml:space="preserve">AR-CITY-TAWANG-0055</t>
  </si>
  <si>
    <t xml:space="preserve">tawang</t>
  </si>
  <si>
    <t xml:space="preserve">AR-CITY-TEZU-0056</t>
  </si>
  <si>
    <t xml:space="preserve">tezu</t>
  </si>
  <si>
    <t xml:space="preserve">AR-CITY-ZIRO-0057</t>
  </si>
  <si>
    <t xml:space="preserve">ziro</t>
  </si>
  <si>
    <t xml:space="preserve">AS-CITY-BONGAIGAON-0058</t>
  </si>
  <si>
    <t xml:space="preserve">bongaigaon</t>
  </si>
  <si>
    <t xml:space="preserve">AS-CITY-DHUBRI-0059</t>
  </si>
  <si>
    <t xml:space="preserve">dhubri</t>
  </si>
  <si>
    <t xml:space="preserve">AS-CITY-DIBRUGARH-0060</t>
  </si>
  <si>
    <t xml:space="preserve">dibrugarh</t>
  </si>
  <si>
    <t xml:space="preserve">AS-CITY-GUWAHATI-0061</t>
  </si>
  <si>
    <t xml:space="preserve">guwahati</t>
  </si>
  <si>
    <t xml:space="preserve">AS-CITY-JORHAT-0062</t>
  </si>
  <si>
    <t xml:space="preserve">jorhat</t>
  </si>
  <si>
    <t xml:space="preserve">AS-CITY-KOKRAJHAR-0063</t>
  </si>
  <si>
    <t xml:space="preserve">kokrajhar</t>
  </si>
  <si>
    <t xml:space="preserve">AS-CITY-NAGAON-0064</t>
  </si>
  <si>
    <t xml:space="preserve">nagaon</t>
  </si>
  <si>
    <t xml:space="preserve">AS-CITY-NORTHLAKHIMP-0065</t>
  </si>
  <si>
    <t xml:space="preserve">north lakhimpur</t>
  </si>
  <si>
    <t xml:space="preserve">AS-CITY-SILCHAR-0066</t>
  </si>
  <si>
    <t xml:space="preserve">silchar</t>
  </si>
  <si>
    <t xml:space="preserve">AS-CITY-SIVASAGAR-0067</t>
  </si>
  <si>
    <t xml:space="preserve">sivasagar</t>
  </si>
  <si>
    <t xml:space="preserve">AS-CITY-TEZPUR-0068</t>
  </si>
  <si>
    <t xml:space="preserve">tezpur</t>
  </si>
  <si>
    <t xml:space="preserve">AS-CITY-TINSUKIA-0069</t>
  </si>
  <si>
    <t xml:space="preserve">tinsukia</t>
  </si>
  <si>
    <t xml:space="preserve">BR-CITY-ARRAH-0070</t>
  </si>
  <si>
    <t xml:space="preserve">arrah</t>
  </si>
  <si>
    <t xml:space="preserve">BR-CITY-BEGUSARAI-0071</t>
  </si>
  <si>
    <t xml:space="preserve">begusarai</t>
  </si>
  <si>
    <t xml:space="preserve">BR-CITY-BETTIAH-0072</t>
  </si>
  <si>
    <t xml:space="preserve">bettiah</t>
  </si>
  <si>
    <t xml:space="preserve">BR-CITY-BHAGALPUR-0073</t>
  </si>
  <si>
    <t xml:space="preserve">bhagalpur</t>
  </si>
  <si>
    <t xml:space="preserve">BR-CITY-CHHAPRA-0074</t>
  </si>
  <si>
    <t xml:space="preserve">chhapra</t>
  </si>
  <si>
    <t xml:space="preserve">BR-CITY-DARBHANGA-0075</t>
  </si>
  <si>
    <t xml:space="preserve">darbhanga</t>
  </si>
  <si>
    <t xml:space="preserve">BR-CITY-GAYA-0076</t>
  </si>
  <si>
    <t xml:space="preserve">gaya</t>
  </si>
  <si>
    <t xml:space="preserve">BR-CITY-HAJIPUR-0077</t>
  </si>
  <si>
    <t xml:space="preserve">hajipur</t>
  </si>
  <si>
    <t xml:space="preserve">BR-CITY-KATIHAR-0078</t>
  </si>
  <si>
    <t xml:space="preserve">katihar</t>
  </si>
  <si>
    <t xml:space="preserve">BR-CITY-KISHANGANJ-0079</t>
  </si>
  <si>
    <t xml:space="preserve">kishanganj</t>
  </si>
  <si>
    <t xml:space="preserve">BR-CITY-MOTIHARI-0080</t>
  </si>
  <si>
    <t xml:space="preserve">motihari</t>
  </si>
  <si>
    <t xml:space="preserve">BR-CITY-MUZAFFARPUR-0081</t>
  </si>
  <si>
    <t xml:space="preserve">muzaffarpur</t>
  </si>
  <si>
    <t xml:space="preserve">BR-CITY-PATNA-0082</t>
  </si>
  <si>
    <t xml:space="preserve">patna</t>
  </si>
  <si>
    <t xml:space="preserve">BR-CITY-PURNIA-0083</t>
  </si>
  <si>
    <t xml:space="preserve">purnia</t>
  </si>
  <si>
    <t xml:space="preserve">BR-CITY-SAHARSA-0084</t>
  </si>
  <si>
    <t xml:space="preserve">saharsa</t>
  </si>
  <si>
    <t xml:space="preserve">BR-CITY-SAMASTIPUR-0085</t>
  </si>
  <si>
    <t xml:space="preserve">samastipur</t>
  </si>
  <si>
    <t xml:space="preserve">BR-CITY-SASARAM-0086</t>
  </si>
  <si>
    <t xml:space="preserve">sasaram</t>
  </si>
  <si>
    <t xml:space="preserve">CG-CITY-AMBIKAPUR-0087</t>
  </si>
  <si>
    <t xml:space="preserve">ambikapur</t>
  </si>
  <si>
    <t xml:space="preserve">CG-CITY-BHILAI-0088</t>
  </si>
  <si>
    <t xml:space="preserve">bhilai</t>
  </si>
  <si>
    <t xml:space="preserve">CG-CITY-BILASPUR-0089</t>
  </si>
  <si>
    <t xml:space="preserve">bilaspur</t>
  </si>
  <si>
    <t xml:space="preserve">CG-CITY-DHAMTARI-0090</t>
  </si>
  <si>
    <t xml:space="preserve">dhamtari</t>
  </si>
  <si>
    <t xml:space="preserve">CG-CITY-DURG-0091</t>
  </si>
  <si>
    <t xml:space="preserve">durg</t>
  </si>
  <si>
    <t xml:space="preserve">CG-CITY-JAGDALPUR-0092</t>
  </si>
  <si>
    <t xml:space="preserve">jagdalpur</t>
  </si>
  <si>
    <t xml:space="preserve">CG-CITY-KORBA-0093</t>
  </si>
  <si>
    <t xml:space="preserve">korba</t>
  </si>
  <si>
    <t xml:space="preserve">CG-CITY-RAIGARH-0094</t>
  </si>
  <si>
    <t xml:space="preserve">raigarh</t>
  </si>
  <si>
    <t xml:space="preserve">CG-CITY-RAIPUR-0095</t>
  </si>
  <si>
    <t xml:space="preserve">raipur</t>
  </si>
  <si>
    <t xml:space="preserve">CG-CITY-RAJNANDGAON-0096</t>
  </si>
  <si>
    <t xml:space="preserve">rajnandgaon</t>
  </si>
  <si>
    <t xml:space="preserve">GA-CITY-CALANGUTE-0097</t>
  </si>
  <si>
    <t xml:space="preserve">calangute</t>
  </si>
  <si>
    <t xml:space="preserve">GA-CITY-CANACONA-0098</t>
  </si>
  <si>
    <t xml:space="preserve">canacona</t>
  </si>
  <si>
    <t xml:space="preserve">GA-CITY-MAPUSA-0099</t>
  </si>
  <si>
    <t xml:space="preserve">mapusa</t>
  </si>
  <si>
    <t xml:space="preserve">GA-CITY-MARGAO-0100</t>
  </si>
  <si>
    <t xml:space="preserve">margao</t>
  </si>
  <si>
    <t xml:space="preserve">GA-CITY-PANAJI-0101</t>
  </si>
  <si>
    <t xml:space="preserve">panaji</t>
  </si>
  <si>
    <t xml:space="preserve">GA-CITY-PONDA-0102</t>
  </si>
  <si>
    <t xml:space="preserve">ponda</t>
  </si>
  <si>
    <t xml:space="preserve">GA-CITY-VASCODAGAMA-0103</t>
  </si>
  <si>
    <t xml:space="preserve">vasco da gama, vasco</t>
  </si>
  <si>
    <t xml:space="preserve">Vasco</t>
  </si>
  <si>
    <t xml:space="preserve">GJ-CITY-AHMEDABAD-0104</t>
  </si>
  <si>
    <t xml:space="preserve">ahmedabad</t>
  </si>
  <si>
    <t xml:space="preserve">GJ-CITY-ANAND-0105</t>
  </si>
  <si>
    <t xml:space="preserve">anand</t>
  </si>
  <si>
    <t xml:space="preserve">GJ-CITY-BHARUCH-0106</t>
  </si>
  <si>
    <t xml:space="preserve">bharuch</t>
  </si>
  <si>
    <t xml:space="preserve">GJ-CITY-BHAVNAGAR-0107</t>
  </si>
  <si>
    <t xml:space="preserve">bhavnagar</t>
  </si>
  <si>
    <t xml:space="preserve">GJ-CITY-BHUJ-0108</t>
  </si>
  <si>
    <t xml:space="preserve">bhuj</t>
  </si>
  <si>
    <t xml:space="preserve">GJ-CITY-DWARKA-0109</t>
  </si>
  <si>
    <t xml:space="preserve">dwarka</t>
  </si>
  <si>
    <t xml:space="preserve">GJ-CITY-GANDHINAGAR-0110</t>
  </si>
  <si>
    <t xml:space="preserve">gandhinagar</t>
  </si>
  <si>
    <t xml:space="preserve">GJ-CITY-JAMNAGAR-0111</t>
  </si>
  <si>
    <t xml:space="preserve">jamnagar</t>
  </si>
  <si>
    <t xml:space="preserve">GJ-CITY-JUNAGADH-0112</t>
  </si>
  <si>
    <t xml:space="preserve">junagadh</t>
  </si>
  <si>
    <t xml:space="preserve">GJ-CITY-MEHSANA-0113</t>
  </si>
  <si>
    <t xml:space="preserve">mehsana</t>
  </si>
  <si>
    <t xml:space="preserve">GJ-CITY-PALANPUR-0114</t>
  </si>
  <si>
    <t xml:space="preserve">palanpur</t>
  </si>
  <si>
    <t xml:space="preserve">GJ-CITY-PORBANDAR-0115</t>
  </si>
  <si>
    <t xml:space="preserve">porbandar</t>
  </si>
  <si>
    <t xml:space="preserve">GJ-CITY-RAJKOT-0116</t>
  </si>
  <si>
    <t xml:space="preserve">rajkot</t>
  </si>
  <si>
    <t xml:space="preserve">GJ-CITY-SURAT-0117</t>
  </si>
  <si>
    <t xml:space="preserve">surat</t>
  </si>
  <si>
    <t xml:space="preserve">GJ-CITY-VADODARA-0118</t>
  </si>
  <si>
    <t xml:space="preserve">vadodara, baroda</t>
  </si>
  <si>
    <t xml:space="preserve">Baroda</t>
  </si>
  <si>
    <t xml:space="preserve">GJ-CITY-VERAVAL-0119</t>
  </si>
  <si>
    <t xml:space="preserve">veraval</t>
  </si>
  <si>
    <t xml:space="preserve">HR-CITY-AMBALA-0120</t>
  </si>
  <si>
    <t xml:space="preserve">ambala</t>
  </si>
  <si>
    <t xml:space="preserve">HR-CITY-BHIWANI-0121</t>
  </si>
  <si>
    <t xml:space="preserve">bhiwani</t>
  </si>
  <si>
    <t xml:space="preserve">HR-CITY-FARIDABAD-0122</t>
  </si>
  <si>
    <t xml:space="preserve">faridabad</t>
  </si>
  <si>
    <t xml:space="preserve">HR-CITY-GURUGRAM-0123</t>
  </si>
  <si>
    <t xml:space="preserve">gurugram, gurgaon</t>
  </si>
  <si>
    <t xml:space="preserve">Gurgaon</t>
  </si>
  <si>
    <t xml:space="preserve">HR-CITY-HISAR-0124</t>
  </si>
  <si>
    <t xml:space="preserve">hisar</t>
  </si>
  <si>
    <t xml:space="preserve">HR-CITY-JIND-0125</t>
  </si>
  <si>
    <t xml:space="preserve">jind</t>
  </si>
  <si>
    <t xml:space="preserve">HR-CITY-KARNAL-0126</t>
  </si>
  <si>
    <t xml:space="preserve">karnal</t>
  </si>
  <si>
    <t xml:space="preserve">HR-CITY-KURUKSHETRA-0127</t>
  </si>
  <si>
    <t xml:space="preserve">kurukshetra</t>
  </si>
  <si>
    <t xml:space="preserve">HR-CITY-PANCHKULA-0128</t>
  </si>
  <si>
    <t xml:space="preserve">panchkula</t>
  </si>
  <si>
    <t xml:space="preserve">HR-CITY-PANIPAT-0129</t>
  </si>
  <si>
    <t xml:space="preserve">panipat</t>
  </si>
  <si>
    <t xml:space="preserve">HR-CITY-REWARI-0130</t>
  </si>
  <si>
    <t xml:space="preserve">rewari</t>
  </si>
  <si>
    <t xml:space="preserve">HR-CITY-ROHTAK-0131</t>
  </si>
  <si>
    <t xml:space="preserve">rohtak</t>
  </si>
  <si>
    <t xml:space="preserve">HR-CITY-SIRSA-0132</t>
  </si>
  <si>
    <t xml:space="preserve">sirsa</t>
  </si>
  <si>
    <t xml:space="preserve">HR-CITY-SONIPAT-0133</t>
  </si>
  <si>
    <t xml:space="preserve">sonipat</t>
  </si>
  <si>
    <t xml:space="preserve">HR-CITY-YAMUNANAGAR-0134</t>
  </si>
  <si>
    <t xml:space="preserve">yamunanagar</t>
  </si>
  <si>
    <t xml:space="preserve">HP-CITY-BADDI-0135</t>
  </si>
  <si>
    <t xml:space="preserve">baddi</t>
  </si>
  <si>
    <t xml:space="preserve">HP-CITY-BILASPUR-0136</t>
  </si>
  <si>
    <t xml:space="preserve">HP-CITY-CHAMBA-0137</t>
  </si>
  <si>
    <t xml:space="preserve">chamba</t>
  </si>
  <si>
    <t xml:space="preserve">HP-CITY-DHARAMSHALA-0138</t>
  </si>
  <si>
    <t xml:space="preserve">dharamshala</t>
  </si>
  <si>
    <t xml:space="preserve">HP-CITY-HAMIRPUR-0139</t>
  </si>
  <si>
    <t xml:space="preserve">hamirpur</t>
  </si>
  <si>
    <t xml:space="preserve">HP-CITY-KANGRA-0140</t>
  </si>
  <si>
    <t xml:space="preserve">kangra</t>
  </si>
  <si>
    <t xml:space="preserve">HP-CITY-KULLU-0141</t>
  </si>
  <si>
    <t xml:space="preserve">kullu</t>
  </si>
  <si>
    <t xml:space="preserve">HP-CITY-MANALI-0142</t>
  </si>
  <si>
    <t xml:space="preserve">manali</t>
  </si>
  <si>
    <t xml:space="preserve">HP-CITY-MANDI-0143</t>
  </si>
  <si>
    <t xml:space="preserve">mandi</t>
  </si>
  <si>
    <t xml:space="preserve">HP-CITY-PALAMPUR-0144</t>
  </si>
  <si>
    <t xml:space="preserve">palampur</t>
  </si>
  <si>
    <t xml:space="preserve">HP-CITY-RECKONGPEO-0145</t>
  </si>
  <si>
    <t xml:space="preserve">reckong peo</t>
  </si>
  <si>
    <t xml:space="preserve">HP-CITY-SHIMLA-0146</t>
  </si>
  <si>
    <t xml:space="preserve">shimla</t>
  </si>
  <si>
    <t xml:space="preserve">HP-CITY-SOLAN-0147</t>
  </si>
  <si>
    <t xml:space="preserve">solan</t>
  </si>
  <si>
    <t xml:space="preserve">HP-CITY-UNA-0148</t>
  </si>
  <si>
    <t xml:space="preserve">una</t>
  </si>
  <si>
    <t xml:space="preserve">JH-CITY-BOKARO-0149</t>
  </si>
  <si>
    <t xml:space="preserve">bokaro</t>
  </si>
  <si>
    <t xml:space="preserve">JH-CITY-DEOGHAR-0150</t>
  </si>
  <si>
    <t xml:space="preserve">deoghar</t>
  </si>
  <si>
    <t xml:space="preserve">JH-CITY-DHANBAD-0151</t>
  </si>
  <si>
    <t xml:space="preserve">dhanbad</t>
  </si>
  <si>
    <t xml:space="preserve">JH-CITY-DUMKA-0152</t>
  </si>
  <si>
    <t xml:space="preserve">dumka</t>
  </si>
  <si>
    <t xml:space="preserve">JH-CITY-GIRIDIH-0153</t>
  </si>
  <si>
    <t xml:space="preserve">giridih</t>
  </si>
  <si>
    <t xml:space="preserve">JH-CITY-HAZARIBAGH-0154</t>
  </si>
  <si>
    <t xml:space="preserve">hazaribagh</t>
  </si>
  <si>
    <t xml:space="preserve">JH-CITY-JAMSHEDPUR-0155</t>
  </si>
  <si>
    <t xml:space="preserve">jamshedpur</t>
  </si>
  <si>
    <t xml:space="preserve">JH-CITY-MEDININAGAR-0156</t>
  </si>
  <si>
    <t xml:space="preserve">medininagar, daltonganj</t>
  </si>
  <si>
    <t xml:space="preserve">Daltonganj</t>
  </si>
  <si>
    <t xml:space="preserve">JH-CITY-RANCHI-0157</t>
  </si>
  <si>
    <t xml:space="preserve">ranchi</t>
  </si>
  <si>
    <t xml:space="preserve">KA-CITY-BALLARI-0158</t>
  </si>
  <si>
    <t xml:space="preserve">ballari, bellary</t>
  </si>
  <si>
    <t xml:space="preserve">Bellary</t>
  </si>
  <si>
    <t xml:space="preserve">KA-CITY-BELAGAVI-0159</t>
  </si>
  <si>
    <t xml:space="preserve">belagavi, belgaum</t>
  </si>
  <si>
    <t xml:space="preserve">Belgaum</t>
  </si>
  <si>
    <t xml:space="preserve">KA-CITY-BENGALURU-0160</t>
  </si>
  <si>
    <t xml:space="preserve">bengaluru, bangalore</t>
  </si>
  <si>
    <t xml:space="preserve">Bangalore</t>
  </si>
  <si>
    <t xml:space="preserve">KA-CITY-CHIKKAMAGALU-0161</t>
  </si>
  <si>
    <t xml:space="preserve">chikkamagaluru</t>
  </si>
  <si>
    <t xml:space="preserve">KA-CITY-DAVANGERE-0162</t>
  </si>
  <si>
    <t xml:space="preserve">davangere</t>
  </si>
  <si>
    <t xml:space="preserve">KA-CITY-DHARWAD-0163</t>
  </si>
  <si>
    <t xml:space="preserve">dharwad</t>
  </si>
  <si>
    <t xml:space="preserve">KA-CITY-HASSAN-0164</t>
  </si>
  <si>
    <t xml:space="preserve">hassan</t>
  </si>
  <si>
    <t xml:space="preserve">KA-CITY-HUBBALLI-0165</t>
  </si>
  <si>
    <t xml:space="preserve">hubballi, hubli</t>
  </si>
  <si>
    <t xml:space="preserve">Hubli</t>
  </si>
  <si>
    <t xml:space="preserve">KA-CITY-KALABURAGI-0166</t>
  </si>
  <si>
    <t xml:space="preserve">kalaburagi, gulbarga</t>
  </si>
  <si>
    <t xml:space="preserve">Gulbarga</t>
  </si>
  <si>
    <t xml:space="preserve">KA-CITY-MADIKERI-0167</t>
  </si>
  <si>
    <t xml:space="preserve">madikeri</t>
  </si>
  <si>
    <t xml:space="preserve">KA-CITY-MANGALURU-0168</t>
  </si>
  <si>
    <t xml:space="preserve">mangaluru, mangalore</t>
  </si>
  <si>
    <t xml:space="preserve">Mangalore</t>
  </si>
  <si>
    <t xml:space="preserve">KA-CITY-MYSURU-0169</t>
  </si>
  <si>
    <t xml:space="preserve">mysuru, mysore</t>
  </si>
  <si>
    <t xml:space="preserve">Mysore</t>
  </si>
  <si>
    <t xml:space="preserve">KA-CITY-SHIVAMOGGA-0170</t>
  </si>
  <si>
    <t xml:space="preserve">shivamogga, shimoga</t>
  </si>
  <si>
    <t xml:space="preserve">Shimoga</t>
  </si>
  <si>
    <t xml:space="preserve">KA-CITY-TUMAKURU-0171</t>
  </si>
  <si>
    <t xml:space="preserve">tumakuru, tumkur</t>
  </si>
  <si>
    <t xml:space="preserve">Tumkur</t>
  </si>
  <si>
    <t xml:space="preserve">KA-CITY-UDUPI-0172</t>
  </si>
  <si>
    <t xml:space="preserve">udupi</t>
  </si>
  <si>
    <t xml:space="preserve">KA-CITY-VIJAYAPURA-0173</t>
  </si>
  <si>
    <t xml:space="preserve">vijayapura, bijapur</t>
  </si>
  <si>
    <t xml:space="preserve">Bijapur</t>
  </si>
  <si>
    <t xml:space="preserve">KL-CITY-ALAPPUZHA-0174</t>
  </si>
  <si>
    <t xml:space="preserve">alappuzha</t>
  </si>
  <si>
    <t xml:space="preserve">KL-CITY-ERNAKULAM-0175</t>
  </si>
  <si>
    <t xml:space="preserve">ernakulam</t>
  </si>
  <si>
    <t xml:space="preserve">KL-CITY-KANNUR-0176</t>
  </si>
  <si>
    <t xml:space="preserve">kannur</t>
  </si>
  <si>
    <t xml:space="preserve">KL-CITY-KASARAGOD-0177</t>
  </si>
  <si>
    <t xml:space="preserve">kasaragod</t>
  </si>
  <si>
    <t xml:space="preserve">KL-CITY-KOCHI-0178</t>
  </si>
  <si>
    <t xml:space="preserve">kochi, cochin</t>
  </si>
  <si>
    <t xml:space="preserve">Cochin</t>
  </si>
  <si>
    <t xml:space="preserve">KL-CITY-KOLLAM-0179</t>
  </si>
  <si>
    <t xml:space="preserve">kollam</t>
  </si>
  <si>
    <t xml:space="preserve">KL-CITY-KOTTAYAM-0180</t>
  </si>
  <si>
    <t xml:space="preserve">kottayam</t>
  </si>
  <si>
    <t xml:space="preserve">KL-CITY-KOZHIKODE-0181</t>
  </si>
  <si>
    <t xml:space="preserve">kozhikode, calicut</t>
  </si>
  <si>
    <t xml:space="preserve">Calicut</t>
  </si>
  <si>
    <t xml:space="preserve">KL-CITY-MALAPPURAM-0182</t>
  </si>
  <si>
    <t xml:space="preserve">malappuram</t>
  </si>
  <si>
    <t xml:space="preserve">KL-CITY-MUNNAR-0183</t>
  </si>
  <si>
    <t xml:space="preserve">munnar</t>
  </si>
  <si>
    <t xml:space="preserve">KL-CITY-PALAKKAD-0184</t>
  </si>
  <si>
    <t xml:space="preserve">palakkad</t>
  </si>
  <si>
    <t xml:space="preserve">KL-CITY-PATHANAMTHIT-0185</t>
  </si>
  <si>
    <t xml:space="preserve">pathanamthitta</t>
  </si>
  <si>
    <t xml:space="preserve">KL-CITY-THIRUVANANTH-0186</t>
  </si>
  <si>
    <t xml:space="preserve">thiruvananthapuram, trivandrum</t>
  </si>
  <si>
    <t xml:space="preserve">Trivandrum</t>
  </si>
  <si>
    <t xml:space="preserve">KL-CITY-THRISSUR-0187</t>
  </si>
  <si>
    <t xml:space="preserve">thrissur</t>
  </si>
  <si>
    <t xml:space="preserve">MP-CITY-BHOPAL-0188</t>
  </si>
  <si>
    <t xml:space="preserve">bhopal</t>
  </si>
  <si>
    <t xml:space="preserve">MP-CITY-CHHINDWARA-0189</t>
  </si>
  <si>
    <t xml:space="preserve">chhindwara</t>
  </si>
  <si>
    <t xml:space="preserve">MP-CITY-DEWAS-0190</t>
  </si>
  <si>
    <t xml:space="preserve">dewas</t>
  </si>
  <si>
    <t xml:space="preserve">MP-CITY-GWALIOR-0191</t>
  </si>
  <si>
    <t xml:space="preserve">gwalior</t>
  </si>
  <si>
    <t xml:space="preserve">MP-CITY-INDORE-0192</t>
  </si>
  <si>
    <t xml:space="preserve">indore</t>
  </si>
  <si>
    <t xml:space="preserve">MP-CITY-JABALPUR-0193</t>
  </si>
  <si>
    <t xml:space="preserve">jabalpur</t>
  </si>
  <si>
    <t xml:space="preserve">MP-CITY-KHANDWA-0194</t>
  </si>
  <si>
    <t xml:space="preserve">khandwa</t>
  </si>
  <si>
    <t xml:space="preserve">MP-CITY-RATLAM-0195</t>
  </si>
  <si>
    <t xml:space="preserve">ratlam</t>
  </si>
  <si>
    <t xml:space="preserve">MP-CITY-REWA-0196</t>
  </si>
  <si>
    <t xml:space="preserve">rewa</t>
  </si>
  <si>
    <t xml:space="preserve">MP-CITY-SAGAR-0197</t>
  </si>
  <si>
    <t xml:space="preserve">sagar</t>
  </si>
  <si>
    <t xml:space="preserve">MP-CITY-SATNA-0198</t>
  </si>
  <si>
    <t xml:space="preserve">satna</t>
  </si>
  <si>
    <t xml:space="preserve">MP-CITY-UJJAIN-0199</t>
  </si>
  <si>
    <t xml:space="preserve">ujjain</t>
  </si>
  <si>
    <t xml:space="preserve">MH-CITY-AKOLA-0200</t>
  </si>
  <si>
    <t xml:space="preserve">akola</t>
  </si>
  <si>
    <t xml:space="preserve">MH-CITY-AMRAVATI-0201</t>
  </si>
  <si>
    <t xml:space="preserve">amravati</t>
  </si>
  <si>
    <t xml:space="preserve">MH-CITY-CHHATRAPATIS-0202</t>
  </si>
  <si>
    <t xml:space="preserve">chhatrapati sambhajinagar, aurangabad</t>
  </si>
  <si>
    <t xml:space="preserve">Aurangabad</t>
  </si>
  <si>
    <t xml:space="preserve">MH-CITY-JALGAON-0203</t>
  </si>
  <si>
    <t xml:space="preserve">jalgaon</t>
  </si>
  <si>
    <t xml:space="preserve">MH-CITY-KOLHAPUR-0204</t>
  </si>
  <si>
    <t xml:space="preserve">kolhapur</t>
  </si>
  <si>
    <t xml:space="preserve">MH-CITY-LATUR-0205</t>
  </si>
  <si>
    <t xml:space="preserve">latur</t>
  </si>
  <si>
    <t xml:space="preserve">MH-CITY-MAHABALESHWA-0206</t>
  </si>
  <si>
    <t xml:space="preserve">mahabaleshwar</t>
  </si>
  <si>
    <t xml:space="preserve">MH-CITY-MUMBAI-0207</t>
  </si>
  <si>
    <t xml:space="preserve">mumbai</t>
  </si>
  <si>
    <t xml:space="preserve">MH-CITY-NAGPUR-0208</t>
  </si>
  <si>
    <t xml:space="preserve">nagpur</t>
  </si>
  <si>
    <t xml:space="preserve">MH-CITY-NANDED-0209</t>
  </si>
  <si>
    <t xml:space="preserve">nanded</t>
  </si>
  <si>
    <t xml:space="preserve">MH-CITY-NASHIK-0210</t>
  </si>
  <si>
    <t xml:space="preserve">nashik</t>
  </si>
  <si>
    <t xml:space="preserve">MH-CITY-PUNE-0211</t>
  </si>
  <si>
    <t xml:space="preserve">pune</t>
  </si>
  <si>
    <t xml:space="preserve">MH-CITY-RATNAGIRI-0212</t>
  </si>
  <si>
    <t xml:space="preserve">ratnagiri</t>
  </si>
  <si>
    <t xml:space="preserve">MH-CITY-SANGLI-0213</t>
  </si>
  <si>
    <t xml:space="preserve">sangli</t>
  </si>
  <si>
    <t xml:space="preserve">MH-CITY-SATARA-0214</t>
  </si>
  <si>
    <t xml:space="preserve">satara</t>
  </si>
  <si>
    <t xml:space="preserve">MH-CITY-SOLAPUR-0215</t>
  </si>
  <si>
    <t xml:space="preserve">solapur</t>
  </si>
  <si>
    <t xml:space="preserve">MH-CITY-THANE-0216</t>
  </si>
  <si>
    <t xml:space="preserve">thane</t>
  </si>
  <si>
    <t xml:space="preserve">MN-CITY-BISHNUPUR-0217</t>
  </si>
  <si>
    <t xml:space="preserve">MN-CITY-CHURACHANDPU-0218</t>
  </si>
  <si>
    <t xml:space="preserve">churachandpur</t>
  </si>
  <si>
    <t xml:space="preserve">MN-CITY-IMPHAL-0219</t>
  </si>
  <si>
    <t xml:space="preserve">imphal</t>
  </si>
  <si>
    <t xml:space="preserve">MN-CITY-KAKCHING-0220</t>
  </si>
  <si>
    <t xml:space="preserve">kakching</t>
  </si>
  <si>
    <t xml:space="preserve">MN-CITY-THOUBAL-0221</t>
  </si>
  <si>
    <t xml:space="preserve">thoubal</t>
  </si>
  <si>
    <t xml:space="preserve">MN-CITY-UKHRUL-0222</t>
  </si>
  <si>
    <t xml:space="preserve">ukhrul</t>
  </si>
  <si>
    <t xml:space="preserve">ML-CITY-JOWAI-0223</t>
  </si>
  <si>
    <t xml:space="preserve">jowai</t>
  </si>
  <si>
    <t xml:space="preserve">ML-CITY-NONGPOH-0224</t>
  </si>
  <si>
    <t xml:space="preserve">nongpoh</t>
  </si>
  <si>
    <t xml:space="preserve">ML-CITY-SHILLONG-0225</t>
  </si>
  <si>
    <t xml:space="preserve">shillong</t>
  </si>
  <si>
    <t xml:space="preserve">ML-CITY-SOHRA-0226</t>
  </si>
  <si>
    <t xml:space="preserve">sohra, cherrapunji</t>
  </si>
  <si>
    <t xml:space="preserve">Cherrapunji</t>
  </si>
  <si>
    <t xml:space="preserve">ML-CITY-TURA-0227</t>
  </si>
  <si>
    <t xml:space="preserve">tura</t>
  </si>
  <si>
    <t xml:space="preserve">ML-CITY-WILLIAMNAGAR-0228</t>
  </si>
  <si>
    <t xml:space="preserve">williamnagar</t>
  </si>
  <si>
    <t xml:space="preserve">MZ-CITY-AIZAWL-0229</t>
  </si>
  <si>
    <t xml:space="preserve">aizawl</t>
  </si>
  <si>
    <t xml:space="preserve">MZ-CITY-CHAMPHAI-0230</t>
  </si>
  <si>
    <t xml:space="preserve">champhai</t>
  </si>
  <si>
    <t xml:space="preserve">MZ-CITY-KOLASIB-0231</t>
  </si>
  <si>
    <t xml:space="preserve">kolasib</t>
  </si>
  <si>
    <t xml:space="preserve">MZ-CITY-LUNGLEI-0232</t>
  </si>
  <si>
    <t xml:space="preserve">lunglei</t>
  </si>
  <si>
    <t xml:space="preserve">MZ-CITY-SERCHHIP-0233</t>
  </si>
  <si>
    <t xml:space="preserve">serchhip</t>
  </si>
  <si>
    <t xml:space="preserve">NL-CITY-DIMAPUR-0234</t>
  </si>
  <si>
    <t xml:space="preserve">dimapur</t>
  </si>
  <si>
    <t xml:space="preserve">NL-CITY-KOHIMA-0235</t>
  </si>
  <si>
    <t xml:space="preserve">kohima</t>
  </si>
  <si>
    <t xml:space="preserve">NL-CITY-MOKOKCHUNG-0236</t>
  </si>
  <si>
    <t xml:space="preserve">mokokchung</t>
  </si>
  <si>
    <t xml:space="preserve">NL-CITY-MON-0237</t>
  </si>
  <si>
    <t xml:space="preserve">mon</t>
  </si>
  <si>
    <t xml:space="preserve">NL-CITY-TUENSANG-0238</t>
  </si>
  <si>
    <t xml:space="preserve">tuensang</t>
  </si>
  <si>
    <t xml:space="preserve">NL-CITY-WOKHA-0239</t>
  </si>
  <si>
    <t xml:space="preserve">wokha</t>
  </si>
  <si>
    <t xml:space="preserve">NL-CITY-ZUNHEBOTO-0240</t>
  </si>
  <si>
    <t xml:space="preserve">zunheboto</t>
  </si>
  <si>
    <t xml:space="preserve">OD-CITY-ANGUL-0241</t>
  </si>
  <si>
    <t xml:space="preserve">angul</t>
  </si>
  <si>
    <t xml:space="preserve">OD-CITY-BALASORE-0242</t>
  </si>
  <si>
    <t xml:space="preserve">balasore</t>
  </si>
  <si>
    <t xml:space="preserve">OD-CITY-BARIPADA-0243</t>
  </si>
  <si>
    <t xml:space="preserve">baripada</t>
  </si>
  <si>
    <t xml:space="preserve">OD-CITY-BERHAMPUR-0244</t>
  </si>
  <si>
    <t xml:space="preserve">berhampur</t>
  </si>
  <si>
    <t xml:space="preserve">OD-CITY-BHADRAK-0245</t>
  </si>
  <si>
    <t xml:space="preserve">bhadrak</t>
  </si>
  <si>
    <t xml:space="preserve">OD-CITY-BHUBANESWAR-0246</t>
  </si>
  <si>
    <t xml:space="preserve">bhubaneswar</t>
  </si>
  <si>
    <t xml:space="preserve">OD-CITY-BOLANGIR-0247</t>
  </si>
  <si>
    <t xml:space="preserve">bolangir</t>
  </si>
  <si>
    <t xml:space="preserve">OD-CITY-CUTTACK-0248</t>
  </si>
  <si>
    <t xml:space="preserve">cuttack</t>
  </si>
  <si>
    <t xml:space="preserve">OD-CITY-JEYPORE-0249</t>
  </si>
  <si>
    <t xml:space="preserve">jeypore</t>
  </si>
  <si>
    <t xml:space="preserve">OD-CITY-JHARSUGUDA-0250</t>
  </si>
  <si>
    <t xml:space="preserve">jharsuguda</t>
  </si>
  <si>
    <t xml:space="preserve">OD-CITY-KEONJHAR-0251</t>
  </si>
  <si>
    <t xml:space="preserve">keonjhar</t>
  </si>
  <si>
    <t xml:space="preserve">OD-CITY-KORAPUT-0252</t>
  </si>
  <si>
    <t xml:space="preserve">koraput</t>
  </si>
  <si>
    <t xml:space="preserve">OD-CITY-PURI-0253</t>
  </si>
  <si>
    <t xml:space="preserve">puri</t>
  </si>
  <si>
    <t xml:space="preserve">OD-CITY-ROURKELA-0254</t>
  </si>
  <si>
    <t xml:space="preserve">rourkela</t>
  </si>
  <si>
    <t xml:space="preserve">OD-CITY-SAMBALPUR-0255</t>
  </si>
  <si>
    <t xml:space="preserve">sambalpur</t>
  </si>
  <si>
    <t xml:space="preserve">PB-CITY-AMRITSAR-0256</t>
  </si>
  <si>
    <t xml:space="preserve">amritsar</t>
  </si>
  <si>
    <t xml:space="preserve">PB-CITY-BATALA-0257</t>
  </si>
  <si>
    <t xml:space="preserve">batala</t>
  </si>
  <si>
    <t xml:space="preserve">PB-CITY-BATHINDA-0258</t>
  </si>
  <si>
    <t xml:space="preserve">bathinda</t>
  </si>
  <si>
    <t xml:space="preserve">PB-CITY-FARIDKOT-0259</t>
  </si>
  <si>
    <t xml:space="preserve">faridkot</t>
  </si>
  <si>
    <t xml:space="preserve">PB-CITY-FAZILKA-0260</t>
  </si>
  <si>
    <t xml:space="preserve">fazilka</t>
  </si>
  <si>
    <t xml:space="preserve">PB-CITY-FEROZEPUR-0261</t>
  </si>
  <si>
    <t xml:space="preserve">ferozepur</t>
  </si>
  <si>
    <t xml:space="preserve">PB-CITY-HOSHIARPUR-0262</t>
  </si>
  <si>
    <t xml:space="preserve">hoshiarpur</t>
  </si>
  <si>
    <t xml:space="preserve">PB-CITY-JALANDHAR-0263</t>
  </si>
  <si>
    <t xml:space="preserve">jalandhar</t>
  </si>
  <si>
    <t xml:space="preserve">PB-CITY-KAPURTHALA-0264</t>
  </si>
  <si>
    <t xml:space="preserve">kapurthala</t>
  </si>
  <si>
    <t xml:space="preserve">PB-CITY-LUDHIANA-0265</t>
  </si>
  <si>
    <t xml:space="preserve">ludhiana</t>
  </si>
  <si>
    <t xml:space="preserve">PB-CITY-MOGA-0266</t>
  </si>
  <si>
    <t xml:space="preserve">moga</t>
  </si>
  <si>
    <t xml:space="preserve">PB-CITY-MOHALI-0267</t>
  </si>
  <si>
    <t xml:space="preserve">mohali</t>
  </si>
  <si>
    <t xml:space="preserve">PB-CITY-PATHANKOT-0268</t>
  </si>
  <si>
    <t xml:space="preserve">pathankot</t>
  </si>
  <si>
    <t xml:space="preserve">PB-CITY-PATIALA-0269</t>
  </si>
  <si>
    <t xml:space="preserve">patiala</t>
  </si>
  <si>
    <t xml:space="preserve">PB-CITY-ROPAR-0270</t>
  </si>
  <si>
    <t xml:space="preserve">ropar</t>
  </si>
  <si>
    <t xml:space="preserve">PB-CITY-SANGRUR-0271</t>
  </si>
  <si>
    <t xml:space="preserve">sangrur</t>
  </si>
  <si>
    <t xml:space="preserve">RJ-CITY-AJMER-0272</t>
  </si>
  <si>
    <t xml:space="preserve">ajmer</t>
  </si>
  <si>
    <t xml:space="preserve">RJ-CITY-ALWAR-0273</t>
  </si>
  <si>
    <t xml:space="preserve">alwar</t>
  </si>
  <si>
    <t xml:space="preserve">RJ-CITY-BHARATPUR-0274</t>
  </si>
  <si>
    <t xml:space="preserve">bharatpur</t>
  </si>
  <si>
    <t xml:space="preserve">RJ-CITY-BHILWARA-0275</t>
  </si>
  <si>
    <t xml:space="preserve">bhilwara</t>
  </si>
  <si>
    <t xml:space="preserve">RJ-CITY-BIKANER-0276</t>
  </si>
  <si>
    <t xml:space="preserve">bikaner</t>
  </si>
  <si>
    <t xml:space="preserve">RJ-CITY-CHITTORGARH-0277</t>
  </si>
  <si>
    <t xml:space="preserve">chittorgarh</t>
  </si>
  <si>
    <t xml:space="preserve">RJ-CITY-JAIPUR-0278</t>
  </si>
  <si>
    <t xml:space="preserve">jaipur</t>
  </si>
  <si>
    <t xml:space="preserve">RJ-CITY-JAISALMER-0279</t>
  </si>
  <si>
    <t xml:space="preserve">jaisalmer</t>
  </si>
  <si>
    <t xml:space="preserve">RJ-CITY-JHUNJHUNU-0280</t>
  </si>
  <si>
    <t xml:space="preserve">jhunjhunu</t>
  </si>
  <si>
    <t xml:space="preserve">RJ-CITY-JODHPUR-0281</t>
  </si>
  <si>
    <t xml:space="preserve">jodhpur</t>
  </si>
  <si>
    <t xml:space="preserve">RJ-CITY-KOTA-0282</t>
  </si>
  <si>
    <t xml:space="preserve">kota</t>
  </si>
  <si>
    <t xml:space="preserve">RJ-CITY-MOUNTABU-0283</t>
  </si>
  <si>
    <t xml:space="preserve">mount abu</t>
  </si>
  <si>
    <t xml:space="preserve">RJ-CITY-PUSHKAR-0284</t>
  </si>
  <si>
    <t xml:space="preserve">pushkar</t>
  </si>
  <si>
    <t xml:space="preserve">RJ-CITY-SIKAR-0285</t>
  </si>
  <si>
    <t xml:space="preserve">sikar</t>
  </si>
  <si>
    <t xml:space="preserve">RJ-CITY-SRIGANGANAGA-0286</t>
  </si>
  <si>
    <t xml:space="preserve">sri ganganagar</t>
  </si>
  <si>
    <t xml:space="preserve">RJ-CITY-UDAIPUR-0287</t>
  </si>
  <si>
    <t xml:space="preserve">udaipur</t>
  </si>
  <si>
    <t xml:space="preserve">SK-CITY-GANGTOK-0288</t>
  </si>
  <si>
    <t xml:space="preserve">gangtok</t>
  </si>
  <si>
    <t xml:space="preserve">SK-CITY-GYALSHING-0289</t>
  </si>
  <si>
    <t xml:space="preserve">gyalshing</t>
  </si>
  <si>
    <t xml:space="preserve">SK-CITY-JORETHANG-0290</t>
  </si>
  <si>
    <t xml:space="preserve">jorethang</t>
  </si>
  <si>
    <t xml:space="preserve">SK-CITY-MANGAN-0291</t>
  </si>
  <si>
    <t xml:space="preserve">mangan</t>
  </si>
  <si>
    <t xml:space="preserve">SK-CITY-NAMCHI-0292</t>
  </si>
  <si>
    <t xml:space="preserve">namchi</t>
  </si>
  <si>
    <t xml:space="preserve">TN-CITY-CHENNAI-0293</t>
  </si>
  <si>
    <t xml:space="preserve">chennai, madras</t>
  </si>
  <si>
    <t xml:space="preserve">Madras</t>
  </si>
  <si>
    <t xml:space="preserve">TN-CITY-COIMBATORE-0294</t>
  </si>
  <si>
    <t xml:space="preserve">coimbatore</t>
  </si>
  <si>
    <t xml:space="preserve">TN-CITY-DINDIGUL-0295</t>
  </si>
  <si>
    <t xml:space="preserve">dindigul</t>
  </si>
  <si>
    <t xml:space="preserve">TN-CITY-ERODE-0296</t>
  </si>
  <si>
    <t xml:space="preserve">erode</t>
  </si>
  <si>
    <t xml:space="preserve">TN-CITY-HOSUR-0297</t>
  </si>
  <si>
    <t xml:space="preserve">hosur</t>
  </si>
  <si>
    <t xml:space="preserve">TN-CITY-KANYAKUMARI-0298</t>
  </si>
  <si>
    <t xml:space="preserve">kanyakumari</t>
  </si>
  <si>
    <t xml:space="preserve">TN-CITY-KODAIKANAL-0299</t>
  </si>
  <si>
    <t xml:space="preserve">kodaikanal</t>
  </si>
  <si>
    <t xml:space="preserve">TN-CITY-KUMBAKONAM-0300</t>
  </si>
  <si>
    <t xml:space="preserve">kumbakonam</t>
  </si>
  <si>
    <t xml:space="preserve">TN-CITY-MADURAI-0301</t>
  </si>
  <si>
    <t xml:space="preserve">madurai</t>
  </si>
  <si>
    <t xml:space="preserve">TN-CITY-NAGERCOIL-0302</t>
  </si>
  <si>
    <t xml:space="preserve">nagercoil</t>
  </si>
  <si>
    <t xml:space="preserve">TN-CITY-RAMESWARAM-0303</t>
  </si>
  <si>
    <t xml:space="preserve">rameswaram</t>
  </si>
  <si>
    <t xml:space="preserve">TN-CITY-SALEM-0304</t>
  </si>
  <si>
    <t xml:space="preserve">salem</t>
  </si>
  <si>
    <t xml:space="preserve">TN-CITY-THANJAVUR-0305</t>
  </si>
  <si>
    <t xml:space="preserve">thanjavur</t>
  </si>
  <si>
    <t xml:space="preserve">TN-CITY-TIRUCHIRAPPA-0306</t>
  </si>
  <si>
    <t xml:space="preserve">tiruchirappalli, trichy</t>
  </si>
  <si>
    <t xml:space="preserve">Trichy</t>
  </si>
  <si>
    <t xml:space="preserve">TN-CITY-TIRUNELVELI-0307</t>
  </si>
  <si>
    <t xml:space="preserve">tirunelveli</t>
  </si>
  <si>
    <t xml:space="preserve">TN-CITY-TIRUPPUR-0308</t>
  </si>
  <si>
    <t xml:space="preserve">tiruppur</t>
  </si>
  <si>
    <t xml:space="preserve">TN-CITY-UDHAGAMANDAL-0309</t>
  </si>
  <si>
    <t xml:space="preserve">udhagamandalam, ooty</t>
  </si>
  <si>
    <t xml:space="preserve">Ooty</t>
  </si>
  <si>
    <t xml:space="preserve">TN-CITY-VELLORE-0310</t>
  </si>
  <si>
    <t xml:space="preserve">vellore</t>
  </si>
  <si>
    <t xml:space="preserve">TG-CITY-ADILABAD-0311</t>
  </si>
  <si>
    <t xml:space="preserve">adilabad</t>
  </si>
  <si>
    <t xml:space="preserve">TG-CITY-HYDERABAD-0312</t>
  </si>
  <si>
    <t xml:space="preserve">hyderabad</t>
  </si>
  <si>
    <t xml:space="preserve">TG-CITY-KARIMNAGAR-0313</t>
  </si>
  <si>
    <t xml:space="preserve">karimnagar</t>
  </si>
  <si>
    <t xml:space="preserve">TG-CITY-KHAMMAM-0314</t>
  </si>
  <si>
    <t xml:space="preserve">khammam</t>
  </si>
  <si>
    <t xml:space="preserve">TG-CITY-MAHABUBNAGAR-0315</t>
  </si>
  <si>
    <t xml:space="preserve">mahabubnagar</t>
  </si>
  <si>
    <t xml:space="preserve">TG-CITY-NALGONDA-0316</t>
  </si>
  <si>
    <t xml:space="preserve">nalgonda</t>
  </si>
  <si>
    <t xml:space="preserve">TG-CITY-NIZAMABAD-0317</t>
  </si>
  <si>
    <t xml:space="preserve">nizamabad</t>
  </si>
  <si>
    <t xml:space="preserve">TG-CITY-SIDDIPET-0318</t>
  </si>
  <si>
    <t xml:space="preserve">siddipet</t>
  </si>
  <si>
    <t xml:space="preserve">TG-CITY-WARANGAL-0319</t>
  </si>
  <si>
    <t xml:space="preserve">warangal</t>
  </si>
  <si>
    <t xml:space="preserve">TR-CITY-AGARTALA-0320</t>
  </si>
  <si>
    <t xml:space="preserve">agartala</t>
  </si>
  <si>
    <t xml:space="preserve">TR-CITY-AMBASSA-0321</t>
  </si>
  <si>
    <t xml:space="preserve">ambassa</t>
  </si>
  <si>
    <t xml:space="preserve">TR-CITY-BELONIA-0322</t>
  </si>
  <si>
    <t xml:space="preserve">belonia</t>
  </si>
  <si>
    <t xml:space="preserve">TR-CITY-DHARMANAGAR-0323</t>
  </si>
  <si>
    <t xml:space="preserve">dharmanagar</t>
  </si>
  <si>
    <t xml:space="preserve">TR-CITY-KAILASHAHAR-0324</t>
  </si>
  <si>
    <t xml:space="preserve">kailashahar</t>
  </si>
  <si>
    <t xml:space="preserve">TR-CITY-UDAIPUR-0325</t>
  </si>
  <si>
    <t xml:space="preserve">UP-CITY-AGRA-0326</t>
  </si>
  <si>
    <t xml:space="preserve">agra</t>
  </si>
  <si>
    <t xml:space="preserve">UP-CITY-ALIGARH-0327</t>
  </si>
  <si>
    <t xml:space="preserve">aligarh</t>
  </si>
  <si>
    <t xml:space="preserve">UP-CITY-AYODHYA-0328</t>
  </si>
  <si>
    <t xml:space="preserve">ayodhya, faizabad</t>
  </si>
  <si>
    <t xml:space="preserve">Faizabad</t>
  </si>
  <si>
    <t xml:space="preserve">UP-CITY-BAREILLY-0329</t>
  </si>
  <si>
    <t xml:space="preserve">bareilly</t>
  </si>
  <si>
    <t xml:space="preserve">UP-CITY-GHAZIABAD-0330</t>
  </si>
  <si>
    <t xml:space="preserve">ghaziabad</t>
  </si>
  <si>
    <t xml:space="preserve">UP-CITY-GORAKHPUR-0331</t>
  </si>
  <si>
    <t xml:space="preserve">gorakhpur</t>
  </si>
  <si>
    <t xml:space="preserve">UP-CITY-JHANSI-0332</t>
  </si>
  <si>
    <t xml:space="preserve">jhansi</t>
  </si>
  <si>
    <t xml:space="preserve">UP-CITY-KANPUR-0333</t>
  </si>
  <si>
    <t xml:space="preserve">kanpur</t>
  </si>
  <si>
    <t xml:space="preserve">UP-CITY-LUCKNOW-0334</t>
  </si>
  <si>
    <t xml:space="preserve">lucknow</t>
  </si>
  <si>
    <t xml:space="preserve">UP-CITY-MATHURA-0335</t>
  </si>
  <si>
    <t xml:space="preserve">mathura</t>
  </si>
  <si>
    <t xml:space="preserve">UP-CITY-MEERUT-0336</t>
  </si>
  <si>
    <t xml:space="preserve">meerut</t>
  </si>
  <si>
    <t xml:space="preserve">UP-CITY-MORADABAD-0337</t>
  </si>
  <si>
    <t xml:space="preserve">moradabad</t>
  </si>
  <si>
    <t xml:space="preserve">UP-CITY-NOIDA-0338</t>
  </si>
  <si>
    <t xml:space="preserve">noida</t>
  </si>
  <si>
    <t xml:space="preserve">UP-CITY-PRAYAGRAJ-0339</t>
  </si>
  <si>
    <t xml:space="preserve">prayagraj, allahabad</t>
  </si>
  <si>
    <t xml:space="preserve">Allahabad</t>
  </si>
  <si>
    <t xml:space="preserve">UP-CITY-SAHARANPUR-0340</t>
  </si>
  <si>
    <t xml:space="preserve">saharanpur</t>
  </si>
  <si>
    <t xml:space="preserve">UP-CITY-VARANASI-0341</t>
  </si>
  <si>
    <t xml:space="preserve">varanasi</t>
  </si>
  <si>
    <t xml:space="preserve">UK-CITY-ALMORA-0342</t>
  </si>
  <si>
    <t xml:space="preserve">almora</t>
  </si>
  <si>
    <t xml:space="preserve">UK-CITY-DEHRADUN-0343</t>
  </si>
  <si>
    <t xml:space="preserve">dehradun</t>
  </si>
  <si>
    <t xml:space="preserve">UK-CITY-HALDWANI-0344</t>
  </si>
  <si>
    <t xml:space="preserve">haldwani</t>
  </si>
  <si>
    <t xml:space="preserve">UK-CITY-HARIDWAR-0345</t>
  </si>
  <si>
    <t xml:space="preserve">haridwar</t>
  </si>
  <si>
    <t xml:space="preserve">UK-CITY-KASHIPUR-0346</t>
  </si>
  <si>
    <t xml:space="preserve">kashipur</t>
  </si>
  <si>
    <t xml:space="preserve">UK-CITY-MUSSOORIE-0347</t>
  </si>
  <si>
    <t xml:space="preserve">mussoorie</t>
  </si>
  <si>
    <t xml:space="preserve">UK-CITY-NAINITAL-0348</t>
  </si>
  <si>
    <t xml:space="preserve">nainital</t>
  </si>
  <si>
    <t xml:space="preserve">UK-CITY-PITHORAGARH-0349</t>
  </si>
  <si>
    <t xml:space="preserve">pithoragarh</t>
  </si>
  <si>
    <t xml:space="preserve">UK-CITY-RISHIKESH-0350</t>
  </si>
  <si>
    <t xml:space="preserve">rishikesh</t>
  </si>
  <si>
    <t xml:space="preserve">UK-CITY-ROORKEE-0351</t>
  </si>
  <si>
    <t xml:space="preserve">roorkee</t>
  </si>
  <si>
    <t xml:space="preserve">UK-CITY-RUDRAPUR-0352</t>
  </si>
  <si>
    <t xml:space="preserve">rudrapur</t>
  </si>
  <si>
    <t xml:space="preserve">AN-CITY-DIGLIPUR-0353</t>
  </si>
  <si>
    <t xml:space="preserve">diglipur</t>
  </si>
  <si>
    <t xml:space="preserve">AN-CITY-MAYABUNDER-0354</t>
  </si>
  <si>
    <t xml:space="preserve">mayabunder</t>
  </si>
  <si>
    <t xml:space="preserve">AN-CITY-PORTBLAIR-0355</t>
  </si>
  <si>
    <t xml:space="preserve">port blair</t>
  </si>
  <si>
    <t xml:space="preserve">AN-CITY-RANGAT-0356</t>
  </si>
  <si>
    <t xml:space="preserve">rangat</t>
  </si>
  <si>
    <t xml:space="preserve">CH-CITY-CHANDIGARH-0357</t>
  </si>
  <si>
    <t xml:space="preserve">chandigarh</t>
  </si>
  <si>
    <t xml:space="preserve">DD-CITY-DAMAN-0358</t>
  </si>
  <si>
    <t xml:space="preserve">daman</t>
  </si>
  <si>
    <t xml:space="preserve">DD-CITY-DIU-0359</t>
  </si>
  <si>
    <t xml:space="preserve">diu</t>
  </si>
  <si>
    <t xml:space="preserve">DD-CITY-SILVASSA-0360</t>
  </si>
  <si>
    <t xml:space="preserve">silvassa</t>
  </si>
  <si>
    <t xml:space="preserve">DL-CITY-DELHI-0361</t>
  </si>
  <si>
    <t xml:space="preserve">delhi</t>
  </si>
  <si>
    <t xml:space="preserve">JK-CITY-ANANTNAG-0362</t>
  </si>
  <si>
    <t xml:space="preserve">anantnag</t>
  </si>
  <si>
    <t xml:space="preserve">JK-CITY-BARAMULLA-0363</t>
  </si>
  <si>
    <t xml:space="preserve">baramulla</t>
  </si>
  <si>
    <t xml:space="preserve">JK-CITY-JAMMU-0364</t>
  </si>
  <si>
    <t xml:space="preserve">jammu</t>
  </si>
  <si>
    <t xml:space="preserve">JK-CITY-KATHUA-0365</t>
  </si>
  <si>
    <t xml:space="preserve">kathua</t>
  </si>
  <si>
    <t xml:space="preserve">JK-CITY-KATRA-0366</t>
  </si>
  <si>
    <t xml:space="preserve">katra</t>
  </si>
  <si>
    <t xml:space="preserve">JK-CITY-KUPWARA-0367</t>
  </si>
  <si>
    <t xml:space="preserve">kupwara</t>
  </si>
  <si>
    <t xml:space="preserve">JK-CITY-POONCH-0368</t>
  </si>
  <si>
    <t xml:space="preserve">poonch</t>
  </si>
  <si>
    <t xml:space="preserve">JK-CITY-SRINAGAR-0369</t>
  </si>
  <si>
    <t xml:space="preserve">srinagar</t>
  </si>
  <si>
    <t xml:space="preserve">JK-CITY-UDHAMPUR-0370</t>
  </si>
  <si>
    <t xml:space="preserve">udhampur</t>
  </si>
  <si>
    <t xml:space="preserve">LA-CITY-KARGIL-0371</t>
  </si>
  <si>
    <t xml:space="preserve">kargil</t>
  </si>
  <si>
    <t xml:space="preserve">LA-CITY-LEH-0372</t>
  </si>
  <si>
    <t xml:space="preserve">leh</t>
  </si>
  <si>
    <t xml:space="preserve">LD-CITY-AGATTI-0373</t>
  </si>
  <si>
    <t xml:space="preserve">Agatti</t>
  </si>
  <si>
    <t xml:space="preserve">Lakshadweep</t>
  </si>
  <si>
    <t xml:space="preserve">agatti</t>
  </si>
  <si>
    <t xml:space="preserve">LD-CITY-KAVARATTI-0374</t>
  </si>
  <si>
    <t xml:space="preserve">Kavaratti</t>
  </si>
  <si>
    <t xml:space="preserve">kavaratti</t>
  </si>
  <si>
    <t xml:space="preserve">LD-CITY-MINICOY-0375</t>
  </si>
  <si>
    <t xml:space="preserve">Minicoy</t>
  </si>
  <si>
    <t xml:space="preserve">minicoy</t>
  </si>
  <si>
    <t xml:space="preserve">PY-CITY-KARAIKAL-0376</t>
  </si>
  <si>
    <t xml:space="preserve">karaikal</t>
  </si>
  <si>
    <t xml:space="preserve">PY-CITY-MAHE-0377</t>
  </si>
  <si>
    <t xml:space="preserve">mahe</t>
  </si>
  <si>
    <t xml:space="preserve">PY-CITY-PUDUCHERRY-0378</t>
  </si>
  <si>
    <t xml:space="preserve">puducherry, pondicherry</t>
  </si>
  <si>
    <t xml:space="preserve">Pondicherry</t>
  </si>
  <si>
    <t xml:space="preserve">PY-CITY-YANAM-0379</t>
  </si>
  <si>
    <t xml:space="preserve">yanam</t>
  </si>
  <si>
    <t xml:space="preserve">Route_ID</t>
  </si>
  <si>
    <t xml:space="preserve">Origin_Terminal_ID</t>
  </si>
  <si>
    <t xml:space="preserve">Origin_Name</t>
  </si>
  <si>
    <t xml:space="preserve">Origin_City</t>
  </si>
  <si>
    <t xml:space="preserve">Origin_State</t>
  </si>
  <si>
    <t xml:space="preserve">Destination_Terminal_ID</t>
  </si>
  <si>
    <t xml:space="preserve">Destination_Name</t>
  </si>
  <si>
    <t xml:space="preserve">Destination_City</t>
  </si>
  <si>
    <t xml:space="preserve">Destination_State</t>
  </si>
  <si>
    <t xml:space="preserve">Route_Name</t>
  </si>
  <si>
    <t xml:space="preserve">Route_Type</t>
  </si>
  <si>
    <t xml:space="preserve">Intermediate_Cities</t>
  </si>
  <si>
    <t xml:space="preserve">Approx_Distance_KM</t>
  </si>
  <si>
    <t xml:space="preserve">Approx_Duration</t>
  </si>
  <si>
    <t xml:space="preserve">Operator</t>
  </si>
  <si>
    <t xml:space="preserve">Service_Type</t>
  </si>
  <si>
    <t xml:space="preserve">Frequency</t>
  </si>
  <si>
    <t xml:space="preserve">Days_Operating</t>
  </si>
  <si>
    <t xml:space="preserve">WB-RT-001</t>
  </si>
  <si>
    <t xml:space="preserve">Kolkata (Esplanade area, per listing)</t>
  </si>
  <si>
    <t xml:space="preserve">Kolkata - Bolpur</t>
  </si>
  <si>
    <t xml:space="preserve">Intrastate</t>
  </si>
  <si>
    <t xml:space="preserve">State Transport</t>
  </si>
  <si>
    <t xml:space="preserve">https://www.makemytrip.com/bus-tickets/wbtc-ctc-from-kolkata-to-bolpur-online-bus-tickets.html</t>
  </si>
  <si>
    <t xml:space="preserve">MakeMyTrip - WBTC Kolkata to Bolpur</t>
  </si>
  <si>
    <t xml:space="preserve">Source is a booking-portal listing snapshot; terminal not specified, so terminal IDs left blank. Distance/duration not stated in source.</t>
  </si>
  <si>
    <t xml:space="preserve">WB-RT-002</t>
  </si>
  <si>
    <t xml:space="preserve">Kolkata - Durgapur</t>
  </si>
  <si>
    <t xml:space="preserve">SBSTC / WBTC</t>
  </si>
  <si>
    <t xml:space="preserve">Multiple daily (listing shows e.g. 16:15 Durgapur departure)</t>
  </si>
  <si>
    <t xml:space="preserve">WB-RT-003</t>
  </si>
  <si>
    <t xml:space="preserve">Kolkata (Howrah Depot)</t>
  </si>
  <si>
    <t xml:space="preserve">Kolkata - Asansol</t>
  </si>
  <si>
    <t xml:space="preserve">SBSTC</t>
  </si>
  <si>
    <t xml:space="preserve">Multiple daily (listing shows 05:30, 06:15, 10:30, 07:50 AC)</t>
  </si>
  <si>
    <t xml:space="preserve">WB-RT-004</t>
  </si>
  <si>
    <t xml:space="preserve">Kolkata - Arambagh (non-stop and ordinary)</t>
  </si>
  <si>
    <t xml:space="preserve">Multiple daily (about 11 departures listed, 06:30-16:30)</t>
  </si>
  <si>
    <t xml:space="preserve">https://www.makemytrip.com/bus-tickets/wbtc-ctc-from-kolkata-to-arambagh-online-bus-tickets.html</t>
  </si>
  <si>
    <t xml:space="preserve">MakeMyTrip - WBTC Kolkata to Arambagh</t>
  </si>
  <si>
    <t xml:space="preserve">WB-RT-005</t>
  </si>
  <si>
    <t xml:space="preserve">Kolkata - Joyrambati - Bishnupur</t>
  </si>
  <si>
    <t xml:space="preserve">Joyrambati</t>
  </si>
  <si>
    <t xml:space="preserve">Source is a booking-portal listing snapshot; terminal not specified, so terminal IDs left blank. Distance/duration not stated in source. Intermediate stop from service name.</t>
  </si>
  <si>
    <t xml:space="preserve">WB-RT-006</t>
  </si>
  <si>
    <t xml:space="preserve">Kolkata - Asansol - Purulia (AC Volvo, Banglashree Express)</t>
  </si>
  <si>
    <t xml:space="preserve">Long Distance</t>
  </si>
  <si>
    <t xml:space="preserve">AC Volvo</t>
  </si>
  <si>
    <t xml:space="preserve">https://www.makemytrip.com/bus-tickets/wbtc-ctc-from-kolkata-to-purulia-online-bus-tickets.html</t>
  </si>
  <si>
    <t xml:space="preserve">MakeMyTrip - WBTC Kolkata to Purulia</t>
  </si>
  <si>
    <t xml:space="preserve">WB-RT-007</t>
  </si>
  <si>
    <t xml:space="preserve">Kolkata - Bankura - Purulia</t>
  </si>
  <si>
    <t xml:space="preserve">Daily (listing shows 12:00 from Howrah)</t>
  </si>
  <si>
    <t xml:space="preserve">WB-RT-008</t>
  </si>
  <si>
    <t xml:space="preserve">Kolkata - Asansol - Purulia (ordinary)</t>
  </si>
  <si>
    <t xml:space="preserve">Daily (listing shows 11:00 from Howrah)</t>
  </si>
  <si>
    <t xml:space="preserve">WB-RT-009</t>
  </si>
  <si>
    <t xml:space="preserve">Kolkata - Digha</t>
  </si>
  <si>
    <t xml:space="preserve">Named in the WBTC "popular routes" list on the MakeMyTrip WBTC page; individual schedule not retrieved.</t>
  </si>
  <si>
    <t xml:space="preserve">WB-RT-010</t>
  </si>
  <si>
    <t xml:space="preserve">Kolkata - Mayapur</t>
  </si>
  <si>
    <t xml:space="preserve">WB-RT-011</t>
  </si>
  <si>
    <t xml:space="preserve">Kolkata - Raniganj</t>
  </si>
  <si>
    <t xml:space="preserve">WB-RT-012</t>
  </si>
  <si>
    <t xml:space="preserve">Kolkata - Suri</t>
  </si>
  <si>
    <t xml:space="preserve">WB-RT-013</t>
  </si>
  <si>
    <t xml:space="preserve">Kolkata - Balurghat</t>
  </si>
  <si>
    <t xml:space="preserve">WB-RT-014</t>
  </si>
  <si>
    <t xml:space="preserve">Kolkata Airport</t>
  </si>
  <si>
    <t xml:space="preserve">Asansol - Kolkata Airport</t>
  </si>
  <si>
    <t xml:space="preserve">Airport Connection</t>
  </si>
  <si>
    <t xml:space="preserve">Named in the WBTC "popular routes" list on the MakeMyTrip WBTC page; individual schedule not retrieved. Airport stop name from source; no airport terminal row exists yet.</t>
  </si>
  <si>
    <t xml:space="preserve">WB-RT-015</t>
  </si>
  <si>
    <t xml:space="preserve">WBTC 217 (CSTC): Narayanpur - Babughat</t>
  </si>
  <si>
    <t xml:space="preserve">Regional</t>
  </si>
  <si>
    <t xml:space="preserve">Esplanade</t>
  </si>
  <si>
    <t xml:space="preserve">City Bus</t>
  </si>
  <si>
    <t xml:space="preserve">First bus about 05:40, last about 23:00 (Narayanpur end)</t>
  </si>
  <si>
    <t xml:space="preserve">Daily (not stated)</t>
  </si>
  <si>
    <t xml:space="preserve">Kolkata city route; first/last timings and stop count from a secondary portal. Passes Esplanade.</t>
  </si>
  <si>
    <t xml:space="preserve">WB-RT-016</t>
  </si>
  <si>
    <t xml:space="preserve">WBTC 205: Bansdroni - Babughat</t>
  </si>
  <si>
    <t xml:space="preserve">First bus about 06:00, last about 22:45</t>
  </si>
  <si>
    <t xml:space="preserve">Kolkata city route; first/last timings and stop count from a secondary portal. Source calls it a private city bus while attributing it to WBTC - operator needs checking.</t>
  </si>
  <si>
    <t xml:space="preserve">WB-RT-017</t>
  </si>
  <si>
    <t xml:space="preserve">WBTC AC12: Shapoorji - Howrah</t>
  </si>
  <si>
    <t xml:space="preserve">AC City Bus</t>
  </si>
  <si>
    <t xml:space="preserve">Kolkata city route; first/last timings and stop count from a secondary portal.</t>
  </si>
  <si>
    <t xml:space="preserve">Interstate_Route_ID</t>
  </si>
  <si>
    <t xml:space="preserve">Origin_Terminal</t>
  </si>
  <si>
    <t xml:space="preserve">Destination_Terminal</t>
  </si>
  <si>
    <t xml:space="preserve">Intermediate_States</t>
  </si>
  <si>
    <t xml:space="preserve">IN-RT-001</t>
  </si>
  <si>
    <t xml:space="preserve">Kolkata (terminal not stated)</t>
  </si>
  <si>
    <t xml:space="preserve">Patna (terminal not stated)</t>
  </si>
  <si>
    <t xml:space="preserve">Kolkata - Patna</t>
  </si>
  <si>
    <t xml:space="preserve">Festive special</t>
  </si>
  <si>
    <t xml:space="preserve">Departures at 6:00 pm, 7:30 pm and 8:30 pm</t>
  </si>
  <si>
    <t xml:space="preserve">https://patnapress.com/bsrtc-festive-season-bus-services/; https://patnapress.com/bihar-special-festive-buses/</t>
  </si>
  <si>
    <t xml:space="preserve">Reported as a festive-season special (Durga Puja/Diwali/Chhath); regular year-round operation not confirmed. Source is regional news, not the corporation itself. Intermediate states/cities, distance and duration not stated.</t>
  </si>
  <si>
    <t xml:space="preserve">IN-RT-002</t>
  </si>
  <si>
    <t xml:space="preserve">Bhagalpur (terminal not stated)</t>
  </si>
  <si>
    <t xml:space="preserve">Kolkata - Bhagalpur</t>
  </si>
  <si>
    <t xml:space="preserve">Evening services</t>
  </si>
  <si>
    <t xml:space="preserve">https://patnapress.com/bihar-special-festive-buses/</t>
  </si>
  <si>
    <t xml:space="preserve">IN-RT-003</t>
  </si>
  <si>
    <t xml:space="preserve">Patna - Anand Vihar (Delhi)</t>
  </si>
  <si>
    <t xml:space="preserve">Departures between 2 pm and 8 pm (all five origins combined, about 65 buses daily)</t>
  </si>
  <si>
    <t xml:space="preserve">Reported as a festive-season special (Durga Puja/Diwali/Chhath); regular year-round operation not confirmed. Source is regional news, not the corporation itself. Intermediate states/cities, distance and duration not stated. Source names the Delhi destination as Anand Vihar.</t>
  </si>
  <si>
    <t xml:space="preserve">IN-RT-004</t>
  </si>
  <si>
    <t xml:space="preserve">Muzaffarpur (terminal not stated)</t>
  </si>
  <si>
    <t xml:space="preserve">Muzaffarpur - Anand Vihar (Delhi)</t>
  </si>
  <si>
    <t xml:space="preserve">IN-RT-005</t>
  </si>
  <si>
    <t xml:space="preserve">Purnia (terminal not stated)</t>
  </si>
  <si>
    <t xml:space="preserve">Purnia - Anand Vihar (Delhi)</t>
  </si>
  <si>
    <t xml:space="preserve">IN-RT-006</t>
  </si>
  <si>
    <t xml:space="preserve">Gaya (terminal not stated)</t>
  </si>
  <si>
    <t xml:space="preserve">Gaya - Anand Vihar (Delhi)</t>
  </si>
  <si>
    <t xml:space="preserve">IN-RT-007</t>
  </si>
  <si>
    <t xml:space="preserve">Darbhanga (terminal not stated)</t>
  </si>
  <si>
    <t xml:space="preserve">Darbhanga - Anand Vihar (Delhi)</t>
  </si>
  <si>
    <t xml:space="preserve">IN-RT-008</t>
  </si>
  <si>
    <t xml:space="preserve">Ghaziabad (terminal not stated)</t>
  </si>
  <si>
    <t xml:space="preserve">Patna - Ghaziabad (Volvo)</t>
  </si>
  <si>
    <t xml:space="preserve">Volvo service described on the BSRTC Wikipedia page as recently started; current schedule not verified. Destination given as Ghaziabad (Delhi NCR); terminal not stated.</t>
  </si>
  <si>
    <t xml:space="preserve">IN-RT-009</t>
  </si>
  <si>
    <t xml:space="preserve">Kishanganj (terminal not stated)</t>
  </si>
  <si>
    <t xml:space="preserve">Kishanganj - Ghaziabad (Volvo)</t>
  </si>
  <si>
    <t xml:space="preserve">Operator_ID</t>
  </si>
  <si>
    <t xml:space="preserve">Operator_Name</t>
  </si>
  <si>
    <t xml:space="preserve">Operator_Type</t>
  </si>
  <si>
    <t xml:space="preserve">Headquarters</t>
  </si>
  <si>
    <t xml:space="preserve">Website</t>
  </si>
  <si>
    <t xml:space="preserve">WBTC</t>
  </si>
  <si>
    <t xml:space="preserve">https://wbtc.co.in</t>
  </si>
  <si>
    <t xml:space="preserve">https://en.wikipedia.com/wiki/WBSTC</t>
  </si>
  <si>
    <t xml:space="preserve">Existence/name from secondary source; official site, HQ and coverage to be confirmed.</t>
  </si>
  <si>
    <t xml:space="preserve">NBSTC</t>
  </si>
  <si>
    <t xml:space="preserve">North Bengal State Transport Corporation</t>
  </si>
  <si>
    <t xml:space="preserve">Coochbehar</t>
  </si>
  <si>
    <t xml:space="preserve">Widely known state transport undertaking listed from general knowledge; no source retrieved yet. Name/HQ/website need verification.</t>
  </si>
  <si>
    <t xml:space="preserve">APSRTC</t>
  </si>
  <si>
    <t xml:space="preserve">Andhra Pradesh State Road Transport Corporation</t>
  </si>
  <si>
    <t xml:space="preserve">APST</t>
  </si>
  <si>
    <t xml:space="preserve">Arunachal Pradesh State Transport</t>
  </si>
  <si>
    <t xml:space="preserve">ASTC</t>
  </si>
  <si>
    <t xml:space="preserve">Assam State Transport Corporation</t>
  </si>
  <si>
    <t xml:space="preserve">BSRTC</t>
  </si>
  <si>
    <t xml:space="preserve">https://bsrtc.co.in</t>
  </si>
  <si>
    <t xml:space="preserve">CGSRTC</t>
  </si>
  <si>
    <t xml:space="preserve">Chhattisgarh State Road Transport Corporation</t>
  </si>
  <si>
    <t xml:space="preserve">KTCL</t>
  </si>
  <si>
    <t xml:space="preserve">Kadamba Transport Corporation Limited</t>
  </si>
  <si>
    <t xml:space="preserve">GSRTC</t>
  </si>
  <si>
    <t xml:space="preserve">Gujarat State Road Transport Corporation</t>
  </si>
  <si>
    <t xml:space="preserve">HRYR</t>
  </si>
  <si>
    <t xml:space="preserve">Haryana Roadways</t>
  </si>
  <si>
    <t xml:space="preserve">HRTC</t>
  </si>
  <si>
    <t xml:space="preserve">Himachal Road Transport Corporation</t>
  </si>
  <si>
    <t xml:space="preserve">JSRTC</t>
  </si>
  <si>
    <t xml:space="preserve">Jharkhand State Road Transport Corporation</t>
  </si>
  <si>
    <t xml:space="preserve">KSRTC-KA</t>
  </si>
  <si>
    <t xml:space="preserve">Karnataka State Road Transport Corporation</t>
  </si>
  <si>
    <t xml:space="preserve">BMTC</t>
  </si>
  <si>
    <t xml:space="preserve">Bangalore Metropolitan Transport Corporation</t>
  </si>
  <si>
    <t xml:space="preserve">KKRTC</t>
  </si>
  <si>
    <t xml:space="preserve">Kalyana Karnataka Road Transport Corporation</t>
  </si>
  <si>
    <t xml:space="preserve">NWKRTC</t>
  </si>
  <si>
    <t xml:space="preserve">North Western Karnataka Road Transport Corporation</t>
  </si>
  <si>
    <t xml:space="preserve">KSRTC-KL</t>
  </si>
  <si>
    <t xml:space="preserve">Kerala State Road Transport Corporation</t>
  </si>
  <si>
    <t xml:space="preserve">MSRTC</t>
  </si>
  <si>
    <t xml:space="preserve">Maharashtra State Road Transport Corporation</t>
  </si>
  <si>
    <t xml:space="preserve">MNST</t>
  </si>
  <si>
    <t xml:space="preserve">Manipur State Transport</t>
  </si>
  <si>
    <t xml:space="preserve">MTC-ML</t>
  </si>
  <si>
    <t xml:space="preserve">Meghalaya Transport Corporation</t>
  </si>
  <si>
    <t xml:space="preserve">MZST</t>
  </si>
  <si>
    <t xml:space="preserve">Mizoram State Transport</t>
  </si>
  <si>
    <t xml:space="preserve">NST</t>
  </si>
  <si>
    <t xml:space="preserve">Nagaland State Transport</t>
  </si>
  <si>
    <t xml:space="preserve">OSRTC</t>
  </si>
  <si>
    <t xml:space="preserve">Odisha State Road Transport Corporation</t>
  </si>
  <si>
    <t xml:space="preserve">PRTC-PB</t>
  </si>
  <si>
    <t xml:space="preserve">Punjab Roadways (PRTC / Punbus)</t>
  </si>
  <si>
    <t xml:space="preserve">RSRTC</t>
  </si>
  <si>
    <t xml:space="preserve">Rajasthan State Road Transport Corporation</t>
  </si>
  <si>
    <t xml:space="preserve">SNT</t>
  </si>
  <si>
    <t xml:space="preserve">Sikkim Nationalised Transport</t>
  </si>
  <si>
    <t xml:space="preserve">TNSTC</t>
  </si>
  <si>
    <t xml:space="preserve">Tamil Nadu State Transport Corporation</t>
  </si>
  <si>
    <t xml:space="preserve">SETC</t>
  </si>
  <si>
    <t xml:space="preserve">State Express Transport Corporation (Tamil Nadu)</t>
  </si>
  <si>
    <t xml:space="preserve">MTC-TN</t>
  </si>
  <si>
    <t xml:space="preserve">Metropolitan Transport Corporation (Chennai)</t>
  </si>
  <si>
    <t xml:space="preserve">TGSRTC</t>
  </si>
  <si>
    <t xml:space="preserve">Telangana State Road Transport Corporation</t>
  </si>
  <si>
    <t xml:space="preserve">TRTC</t>
  </si>
  <si>
    <t xml:space="preserve">Tripura Road Transport Corporation</t>
  </si>
  <si>
    <t xml:space="preserve">UPSRTC</t>
  </si>
  <si>
    <t xml:space="preserve">Uttar Pradesh State Road Transport Corporation</t>
  </si>
  <si>
    <t xml:space="preserve">UTC</t>
  </si>
  <si>
    <t xml:space="preserve">Uttarakhand Transport Corporation</t>
  </si>
  <si>
    <t xml:space="preserve">CTU</t>
  </si>
  <si>
    <t xml:space="preserve">Chandigarh Transport Undertaking</t>
  </si>
  <si>
    <t xml:space="preserve">DTC</t>
  </si>
  <si>
    <t xml:space="preserve">Delhi Transport Corporation</t>
  </si>
  <si>
    <t xml:space="preserve">JKSRTC</t>
  </si>
  <si>
    <t xml:space="preserve">Jammu and Kashmir State Road Transport Corporation</t>
  </si>
  <si>
    <t xml:space="preserve">PRTC-PY</t>
  </si>
  <si>
    <t xml:space="preserve">Puducherry Road Transport Corporation</t>
  </si>
  <si>
    <t xml:space="preserve">Source_ID</t>
  </si>
  <si>
    <t xml:space="preserve">Source_Type</t>
  </si>
  <si>
    <t xml:space="preserve">Used_For</t>
  </si>
  <si>
    <t xml:space="preserve">Accessed</t>
  </si>
  <si>
    <t xml:space="preserve">Reliability_Note</t>
  </si>
  <si>
    <t xml:space="preserve">SRC-001</t>
  </si>
  <si>
    <t xml:space="preserve">Secondary (property/news portal)</t>
  </si>
  <si>
    <t xml:space="preserve">WBTC route 217 Narayanpur-Babughat; Esplanade stop</t>
  </si>
  <si>
    <t xml:space="preserve">Not an official government/RTC source; use only as lead until confirmed on official site.</t>
  </si>
  <si>
    <t xml:space="preserve">SRC-002</t>
  </si>
  <si>
    <t xml:space="preserve">WBTC route 205 Bansdroni-Babughat</t>
  </si>
  <si>
    <t xml:space="preserve">SRC-003</t>
  </si>
  <si>
    <t xml:space="preserve">WBTC AC12 Shapoorji-Howrah via Esplanade; points to wbtc.co.in</t>
  </si>
  <si>
    <t xml:space="preserve">SRC-004</t>
  </si>
  <si>
    <t xml:space="preserve">Aggregator (booking portal)</t>
  </si>
  <si>
    <t xml:space="preserve">Kolkata-Bolpur WBTC; Esplanade boarding point labels</t>
  </si>
  <si>
    <t xml:space="preserve">SRC-005</t>
  </si>
  <si>
    <t xml:space="preserve">Kolkata-Durgapur/Asansol/Purulia SBSTC &amp; WBTC listings; WBTC popular route list</t>
  </si>
  <si>
    <t xml:space="preserve">SRC-006</t>
  </si>
  <si>
    <t xml:space="preserve">Kolkata-Arambagh SBSTC; Kolkata-Joyrambati-Bishnupur WBTC</t>
  </si>
  <si>
    <t xml:space="preserve">SRC-007</t>
  </si>
  <si>
    <t xml:space="preserve">Kolkata-Purulia via Asansol/Bankura; AC Volvo Banglashree Express</t>
  </si>
  <si>
    <t xml:space="preserve">SRC-008</t>
  </si>
  <si>
    <t xml:space="preserve">Wikipedia - West Bengal Transport Corporation</t>
  </si>
  <si>
    <t xml:space="preserve">Reference (Wikipedia)</t>
  </si>
  <si>
    <t xml:space="preserve">WBTC corporate background</t>
  </si>
  <si>
    <t xml:space="preserve">SRC-009</t>
  </si>
  <si>
    <t xml:space="preserve">BSRTC HQ/website; Pataliputra ISBT Patna; Volvo Patna/Kishanganj-Ghaziabad</t>
  </si>
  <si>
    <t xml:space="preserve">SRC-010</t>
  </si>
  <si>
    <t xml:space="preserve">News (regional)</t>
  </si>
  <si>
    <t xml:space="preserve">BSRTC festive buses to Anand Vihar; Kolkata-Patna timings</t>
  </si>
  <si>
    <t xml:space="preserve">SRC-011</t>
  </si>
  <si>
    <t xml:space="preserve">Patna Press - Bihar special festive buses</t>
  </si>
  <si>
    <t xml:space="preserve">Kolkata-Bhagalpur BSRTC evening services</t>
  </si>
  <si>
    <t xml:space="preserve">SRC-012</t>
  </si>
  <si>
    <t xml:space="preserve">Patna Press - BSRTC 149 new deluxe buses</t>
  </si>
  <si>
    <t xml:space="preserve">https://patnapress.com/bihar-149-new-deluxe-buses-delhi-punjab-haryana-up-jharkhand/</t>
  </si>
  <si>
    <t xml:space="preserve">BSRTC interstate expansion (Delhi, Punjab, Haryana, UP, Jharkhand, WB)</t>
  </si>
  <si>
    <t xml:space="preserve">SRC-013</t>
  </si>
  <si>
    <t xml:space="preserve">News topic index</t>
  </si>
  <si>
    <t xml:space="preserve">Headlines on Esplanade relocation, Santragachi terminus survey, Siliguri terminus revamp</t>
  </si>
  <si>
    <t xml:space="preserve">State/UT</t>
  </si>
  <si>
    <t xml:space="preserve">Major_Cities_Count</t>
  </si>
  <si>
    <t xml:space="preserve">Terminal_Count</t>
  </si>
  <si>
    <t xml:space="preserve">Major_Terminal_Count</t>
  </si>
  <si>
    <t xml:space="preserve">Route_Count</t>
  </si>
  <si>
    <t xml:space="preserve">Interstate_Route_Count</t>
  </si>
  <si>
    <t xml:space="preserve">Operators_Count</t>
  </si>
  <si>
    <t xml:space="preserve">Data_Verification_Status</t>
  </si>
  <si>
    <t xml:space="preserve">Source_Count</t>
  </si>
  <si>
    <t xml:space="preserve">Last_Updated</t>
  </si>
  <si>
    <t xml:space="preserve">Region_Type</t>
  </si>
  <si>
    <t xml:space="preserve">Union Territory</t>
  </si>
  <si>
    <t xml:space="preserve">Check</t>
  </si>
  <si>
    <t xml:space="preserve">Value</t>
  </si>
  <si>
    <t xml:space="preserve">Comment</t>
  </si>
  <si>
    <t xml:space="preserve">Total terminals</t>
  </si>
  <si>
    <t xml:space="preserve">Rows in Bus_Terminals</t>
  </si>
  <si>
    <t xml:space="preserve">Total cities</t>
  </si>
  <si>
    <t xml:space="preserve">Total routes (intrastate/regional, Bus_Routes)</t>
  </si>
  <si>
    <t xml:space="preserve">Total interstate routes</t>
  </si>
  <si>
    <t xml:space="preserve">Kept in a separate sheet; not repeated in Bus_Routes</t>
  </si>
  <si>
    <t xml:space="preserve">Total operators</t>
  </si>
  <si>
    <t xml:space="preserve">Total states</t>
  </si>
  <si>
    <t xml:space="preserve">Expected 28</t>
  </si>
  <si>
    <t xml:space="preserve">Total UTs</t>
  </si>
  <si>
    <t xml:space="preserve">Expected 8</t>
  </si>
  <si>
    <t xml:space="preserve">States/UTs with &gt;=1 terminal record</t>
  </si>
  <si>
    <t xml:space="preserve">Lakshadweep has none - see note</t>
  </si>
  <si>
    <t xml:space="preserve">Duplicate terminal IDs</t>
  </si>
  <si>
    <t xml:space="preserve">Duplicate terminals (same name + city)</t>
  </si>
  <si>
    <t xml:space="preserve">Exact-match check only; alias overlaps need manual review</t>
  </si>
  <si>
    <t xml:space="preserve">Duplicate route IDs</t>
  </si>
  <si>
    <t xml:space="preserve">Duplicate city IDs</t>
  </si>
  <si>
    <t xml:space="preserve">Missing coordinates (terminals)</t>
  </si>
  <si>
    <t xml:space="preserve">No coordinates were verified, so all left blank by design</t>
  </si>
  <si>
    <t xml:space="preserve">Missing coordinates (cities)</t>
  </si>
  <si>
    <t xml:space="preserve">Missing source URLs (terminals)</t>
  </si>
  <si>
    <t xml:space="preserve">Unverified terminals (Needs Verification)</t>
  </si>
  <si>
    <t xml:space="preserve">Partially verified terminals (secondary source only)</t>
  </si>
  <si>
    <t xml:space="preserve">Secondary sources only, not official</t>
  </si>
  <si>
    <t xml:space="preserve">Fully verified terminals (official source)</t>
  </si>
  <si>
    <t xml:space="preserve">None: no official government/RTC page was retrieved</t>
  </si>
  <si>
    <t xml:space="preserve">Unverified operators</t>
  </si>
  <si>
    <t xml:space="preserve">Records requiring manual verification (all sheets)</t>
  </si>
  <si>
    <t xml:space="preserve">Every record at present</t>
  </si>
  <si>
    <t xml:space="preserve">Potential duplicate routes (same origin/destination names)</t>
  </si>
  <si>
    <t xml:space="preserve">Rows are multiple distinct services on the same city pair (e.g. Kolkata-Purulia variants) - intentional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</si>
</sst>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us_Operators_tbl" displayName="Bus_Operators_tbl" ref="A1:I39" headerRowCount="1" totalsRowCount="0" totalsRowShown="0">
  <autoFilter ref="A1:I39"/>
  <tableColumns count="9">
    <tableColumn id="1" name="Operator_ID"/>
    <tableColumn id="2" name="Operator_Name"/>
    <tableColumn id="3" name="Operator_Type"/>
    <tableColumn id="4" name="State"/>
    <tableColumn id="5" name="Headquarters"/>
    <tableColumn id="6" name="Website"/>
    <tableColumn id="7" name="Source_URL"/>
    <tableColumn id="8" name="Verification_Status"/>
    <tableColumn id="9" name="Notes"/>
  </tableColumns>
</table>
</file>

<file path=xl/tables/table2.xml><?xml version="1.0" encoding="utf-8"?>
<table xmlns="http://schemas.openxmlformats.org/spreadsheetml/2006/main" id="2" name="Bus_Routes_tbl" displayName="Bus_Routes_tbl" ref="A1:W18" headerRowCount="1" totalsRowCount="0" totalsRowShown="0">
  <autoFilter ref="A1:W18"/>
  <tableColumns count="23">
    <tableColumn id="1" name="Route_ID"/>
    <tableColumn id="2" name="Origin_Terminal_ID"/>
    <tableColumn id="3" name="Origin_Name"/>
    <tableColumn id="4" name="Origin_City"/>
    <tableColumn id="5" name="Origin_State"/>
    <tableColumn id="6" name="Destination_Terminal_ID"/>
    <tableColumn id="7" name="Destination_Name"/>
    <tableColumn id="8" name="Destination_City"/>
    <tableColumn id="9" name="Destination_State"/>
    <tableColumn id="10" name="Route_Name"/>
    <tableColumn id="11" name="Route_Type"/>
    <tableColumn id="12" name="Intermediate_Cities"/>
    <tableColumn id="13" name="Approx_Distance_KM"/>
    <tableColumn id="14" name="Approx_Duration"/>
    <tableColumn id="15" name="Operator"/>
    <tableColumn id="16" name="Service_Type"/>
    <tableColumn id="17" name="Frequency"/>
    <tableColumn id="18" name="Days_Operating"/>
    <tableColumn id="19" name="Source_URL"/>
    <tableColumn id="20" name="Source_Name"/>
    <tableColumn id="21" name="Verification_Status"/>
    <tableColumn id="22" name="Last_Verified"/>
    <tableColumn id="23" name="Notes"/>
  </tableColumns>
</table>
</file>

<file path=xl/tables/table3.xml><?xml version="1.0" encoding="utf-8"?>
<table xmlns="http://schemas.openxmlformats.org/spreadsheetml/2006/main" id="3" name="Bus_Terminals_tbl" displayName="Bus_Terminals_tbl" ref="A1:W420" headerRowCount="1" totalsRowCount="0" totalsRowShown="0">
  <autoFilter ref="A1:W420"/>
  <tableColumns count="23">
    <tableColumn id="1" name="Terminal_ID"/>
    <tableColumn id="2" name="Terminal_Name"/>
    <tableColumn id="3" name="Terminal_Type"/>
    <tableColumn id="4" name="City"/>
    <tableColumn id="5" name="District"/>
    <tableColumn id="6" name="State"/>
    <tableColumn id="7" name="Union_Territory"/>
    <tableColumn id="8" name="Country"/>
    <tableColumn id="9" name="Full_Address"/>
    <tableColumn id="10" name="Latitude"/>
    <tableColumn id="11" name="Longitude"/>
    <tableColumn id="12" name="PIN_Code"/>
    <tableColumn id="13" name="Major_Terminal"/>
    <tableColumn id="14" name="Intercity"/>
    <tableColumn id="15" name="State_Transport"/>
    <tableColumn id="16" name="Operators"/>
    <tableColumn id="17" name="Alternate_Names"/>
    <tableColumn id="18" name="Search_Keywords"/>
    <tableColumn id="19" name="Source_URL"/>
    <tableColumn id="20" name="Source_Name"/>
    <tableColumn id="21" name="Verification_Status"/>
    <tableColumn id="22" name="Last_Verified"/>
    <tableColumn id="23" name="Notes"/>
  </tableColumns>
</table>
</file>

<file path=xl/tables/table4.xml><?xml version="1.0" encoding="utf-8"?>
<table xmlns="http://schemas.openxmlformats.org/spreadsheetml/2006/main" id="4" name="Cities_tbl" displayName="Cities_tbl" ref="A1:L380" headerRowCount="1" totalsRowCount="0" totalsRowShown="0">
  <autoFilter ref="A1:L380"/>
  <tableColumns count="12">
    <tableColumn id="1" name="City_ID"/>
    <tableColumn id="2" name="City_Name"/>
    <tableColumn id="3" name="District"/>
    <tableColumn id="4" name="State"/>
    <tableColumn id="5" name="Union_Territory"/>
    <tableColumn id="6" name="Latitude"/>
    <tableColumn id="7" name="Longitude"/>
    <tableColumn id="8" name="Major_City"/>
    <tableColumn id="9" name="Major_Bus_Hub"/>
    <tableColumn id="10" name="Search_Name"/>
    <tableColumn id="11" name="Alternate_Names"/>
    <tableColumn id="12" name="Source_URL"/>
  </tableColumns>
</table>
</file>

<file path=xl/tables/table5.xml><?xml version="1.0" encoding="utf-8"?>
<table xmlns="http://schemas.openxmlformats.org/spreadsheetml/2006/main" id="5" name="Data_Quality_tbl" displayName="Data_Quality_tbl" ref="A1:C22" headerRowCount="1" totalsRowCount="0" totalsRowShown="0">
  <autoFilter ref="A1:C22"/>
  <tableColumns count="3">
    <tableColumn id="1" name="Check"/>
    <tableColumn id="2" name="Value"/>
    <tableColumn id="3" name="Comment"/>
  </tableColumns>
</table>
</file>

<file path=xl/tables/table6.xml><?xml version="1.0" encoding="utf-8"?>
<table xmlns="http://schemas.openxmlformats.org/spreadsheetml/2006/main" id="6" name="Interstate_Routes_tbl" displayName="Interstate_Routes_tbl" ref="A1:T10" headerRowCount="1" totalsRowCount="0" totalsRowShown="0">
  <autoFilter ref="A1:T10"/>
  <tableColumns count="20">
    <tableColumn id="1" name="Interstate_Route_ID"/>
    <tableColumn id="2" name="Origin_State"/>
    <tableColumn id="3" name="Origin_City"/>
    <tableColumn id="4" name="Origin_Terminal"/>
    <tableColumn id="5" name="Destination_State"/>
    <tableColumn id="6" name="Destination_City"/>
    <tableColumn id="7" name="Destination_Terminal"/>
    <tableColumn id="8" name="Route_Name"/>
    <tableColumn id="9" name="Intermediate_States"/>
    <tableColumn id="10" name="Intermediate_Cities"/>
    <tableColumn id="11" name="Approx_Distance_KM"/>
    <tableColumn id="12" name="Approx_Duration"/>
    <tableColumn id="13" name="Operator"/>
    <tableColumn id="14" name="Service_Type"/>
    <tableColumn id="15" name="Frequency"/>
    <tableColumn id="16" name="Source_URL"/>
    <tableColumn id="17" name="Verification_Status"/>
    <tableColumn id="18" name="Notes"/>
    <tableColumn id="19" name="Origin_Terminal_ID"/>
    <tableColumn id="20" name="Destination_Terminal_ID"/>
  </tableColumns>
</table>
</file>

<file path=xl/tables/table7.xml><?xml version="1.0" encoding="utf-8"?>
<table xmlns="http://schemas.openxmlformats.org/spreadsheetml/2006/main" id="7" name="Sources_tbl" displayName="Sources_tbl" ref="A1:G14" headerRowCount="1" totalsRowCount="0" totalsRowShown="0">
  <autoFilter ref="A1:G14"/>
  <tableColumns count="7">
    <tableColumn id="1" name="Source_ID"/>
    <tableColumn id="2" name="Source_Name"/>
    <tableColumn id="3" name="Source_URL"/>
    <tableColumn id="4" name="Source_Type"/>
    <tableColumn id="5" name="Used_For"/>
    <tableColumn id="6" name="Accessed"/>
    <tableColumn id="7" name="Reliability_Note"/>
  </tableColumns>
</table>
</file>

<file path=xl/tables/table8.xml><?xml version="1.0" encoding="utf-8"?>
<table xmlns="http://schemas.openxmlformats.org/spreadsheetml/2006/main" id="8" name="State_Summary_tbl" displayName="State_Summary_tbl" ref="A1:K37" headerRowCount="1" totalsRowCount="0" totalsRowShown="0">
  <autoFilter ref="A1:K37"/>
  <tableColumns count="11">
    <tableColumn id="1" name="State/UT"/>
    <tableColumn id="2" name="Major_Cities_Count"/>
    <tableColumn id="3" name="Terminal_Count"/>
    <tableColumn id="4" name="Major_Terminal_Count"/>
    <tableColumn id="5" name="Route_Count"/>
    <tableColumn id="6" name="Interstate_Route_Count"/>
    <tableColumn id="7" name="Operators_Count"/>
    <tableColumn id="8" name="Data_Verification_Status"/>
    <tableColumn id="9" name="Source_Count"/>
    <tableColumn id="10" name="Last_Updated"/>
    <tableColumn id="11" name="Region_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28"/>
    <col collapsed="false" customWidth="true" hidden="false" outlineLevel="0" max="17" min="17" style="0" width="34"/>
    <col collapsed="false" customWidth="true" hidden="false" outlineLevel="0" max="18" min="18" style="0" width="50"/>
    <col collapsed="false" customWidth="true" hidden="false" outlineLevel="0" max="19" min="19" style="0" width="40"/>
    <col collapsed="false" customWidth="true" hidden="false" outlineLevel="0" max="20" min="20" style="0" width="34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60"/>
  </cols>
  <sheetData>
    <row r="1" customFormat="false" ht="30" hidden="false" customHeight="tru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/>
      <c r="F2" s="4" t="s">
        <v>34</v>
      </c>
      <c r="G2" s="4"/>
      <c r="H2" s="4" t="s">
        <v>35</v>
      </c>
      <c r="I2" s="4"/>
      <c r="J2" s="5"/>
      <c r="K2" s="5"/>
      <c r="L2" s="4"/>
      <c r="M2" s="4" t="s">
        <v>36</v>
      </c>
      <c r="N2" s="4" t="s">
        <v>36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6" t="n">
        <v>46297</v>
      </c>
      <c r="W2" s="4" t="s">
        <v>43</v>
      </c>
    </row>
    <row r="3" customFormat="false" ht="15" hidden="false" customHeight="false" outlineLevel="0" collapsed="false">
      <c r="A3" s="4" t="s">
        <v>44</v>
      </c>
      <c r="B3" s="4" t="s">
        <v>45</v>
      </c>
      <c r="C3" s="4" t="s">
        <v>32</v>
      </c>
      <c r="D3" s="4" t="s">
        <v>33</v>
      </c>
      <c r="E3" s="4"/>
      <c r="F3" s="4" t="s">
        <v>34</v>
      </c>
      <c r="G3" s="4"/>
      <c r="H3" s="4" t="s">
        <v>35</v>
      </c>
      <c r="I3" s="4"/>
      <c r="J3" s="5"/>
      <c r="K3" s="5"/>
      <c r="L3" s="4"/>
      <c r="M3" s="4" t="s">
        <v>36</v>
      </c>
      <c r="N3" s="4" t="s">
        <v>36</v>
      </c>
      <c r="O3" s="4" t="s">
        <v>36</v>
      </c>
      <c r="P3" s="4" t="s">
        <v>37</v>
      </c>
      <c r="Q3" s="4" t="s">
        <v>46</v>
      </c>
      <c r="R3" s="4" t="s">
        <v>47</v>
      </c>
      <c r="S3" s="4" t="s">
        <v>48</v>
      </c>
      <c r="T3" s="4" t="s">
        <v>49</v>
      </c>
      <c r="U3" s="4" t="s">
        <v>42</v>
      </c>
      <c r="V3" s="6" t="n">
        <v>46297</v>
      </c>
      <c r="W3" s="4" t="s">
        <v>50</v>
      </c>
    </row>
    <row r="4" customFormat="false" ht="15" hidden="false" customHeight="false" outlineLevel="0" collapsed="false">
      <c r="A4" s="4" t="s">
        <v>51</v>
      </c>
      <c r="B4" s="4" t="s">
        <v>52</v>
      </c>
      <c r="C4" s="4" t="s">
        <v>32</v>
      </c>
      <c r="D4" s="4" t="s">
        <v>33</v>
      </c>
      <c r="E4" s="4"/>
      <c r="F4" s="4" t="s">
        <v>34</v>
      </c>
      <c r="G4" s="4"/>
      <c r="H4" s="4" t="s">
        <v>35</v>
      </c>
      <c r="I4" s="4"/>
      <c r="J4" s="5"/>
      <c r="K4" s="5"/>
      <c r="L4" s="4"/>
      <c r="M4" s="4" t="s">
        <v>36</v>
      </c>
      <c r="N4" s="4" t="s">
        <v>36</v>
      </c>
      <c r="O4" s="4" t="s">
        <v>53</v>
      </c>
      <c r="P4" s="4"/>
      <c r="Q4" s="4" t="s">
        <v>54</v>
      </c>
      <c r="R4" s="4" t="s">
        <v>55</v>
      </c>
      <c r="S4" s="4"/>
      <c r="T4" s="4"/>
      <c r="U4" s="4" t="s">
        <v>56</v>
      </c>
      <c r="V4" s="6"/>
      <c r="W4" s="4" t="s">
        <v>57</v>
      </c>
    </row>
    <row r="5" customFormat="false" ht="15" hidden="false" customHeight="false" outlineLevel="0" collapsed="false">
      <c r="A5" s="4" t="s">
        <v>58</v>
      </c>
      <c r="B5" s="4" t="s">
        <v>59</v>
      </c>
      <c r="C5" s="4" t="s">
        <v>32</v>
      </c>
      <c r="D5" s="4" t="s">
        <v>33</v>
      </c>
      <c r="E5" s="4"/>
      <c r="F5" s="4" t="s">
        <v>34</v>
      </c>
      <c r="G5" s="4"/>
      <c r="H5" s="4" t="s">
        <v>35</v>
      </c>
      <c r="I5" s="4"/>
      <c r="J5" s="5"/>
      <c r="K5" s="5"/>
      <c r="L5" s="4"/>
      <c r="M5" s="4" t="s">
        <v>60</v>
      </c>
      <c r="N5" s="4" t="s">
        <v>60</v>
      </c>
      <c r="O5" s="4" t="s">
        <v>36</v>
      </c>
      <c r="P5" s="4" t="s">
        <v>37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42</v>
      </c>
      <c r="V5" s="6" t="n">
        <v>46297</v>
      </c>
      <c r="W5" s="4" t="s">
        <v>50</v>
      </c>
    </row>
    <row r="6" customFormat="false" ht="15" hidden="false" customHeight="false" outlineLevel="0" collapsed="false">
      <c r="A6" s="4" t="s">
        <v>65</v>
      </c>
      <c r="B6" s="4" t="s">
        <v>66</v>
      </c>
      <c r="C6" s="4" t="s">
        <v>32</v>
      </c>
      <c r="D6" s="4" t="s">
        <v>33</v>
      </c>
      <c r="E6" s="4"/>
      <c r="F6" s="4" t="s">
        <v>34</v>
      </c>
      <c r="G6" s="4"/>
      <c r="H6" s="4" t="s">
        <v>35</v>
      </c>
      <c r="I6" s="4"/>
      <c r="J6" s="5"/>
      <c r="K6" s="5"/>
      <c r="L6" s="4"/>
      <c r="M6" s="4" t="s">
        <v>60</v>
      </c>
      <c r="N6" s="4" t="s">
        <v>60</v>
      </c>
      <c r="O6" s="4" t="s">
        <v>36</v>
      </c>
      <c r="P6" s="4" t="s">
        <v>37</v>
      </c>
      <c r="Q6" s="4" t="s">
        <v>67</v>
      </c>
      <c r="R6" s="4" t="s">
        <v>68</v>
      </c>
      <c r="S6" s="4" t="s">
        <v>69</v>
      </c>
      <c r="T6" s="4" t="s">
        <v>70</v>
      </c>
      <c r="U6" s="4" t="s">
        <v>42</v>
      </c>
      <c r="V6" s="6" t="n">
        <v>46297</v>
      </c>
      <c r="W6" s="4" t="s">
        <v>50</v>
      </c>
    </row>
    <row r="7" customFormat="false" ht="15" hidden="false" customHeight="false" outlineLevel="0" collapsed="false">
      <c r="A7" s="4" t="s">
        <v>71</v>
      </c>
      <c r="B7" s="4" t="s">
        <v>72</v>
      </c>
      <c r="C7" s="4" t="s">
        <v>32</v>
      </c>
      <c r="D7" s="4" t="s">
        <v>33</v>
      </c>
      <c r="E7" s="4"/>
      <c r="F7" s="4" t="s">
        <v>34</v>
      </c>
      <c r="G7" s="4"/>
      <c r="H7" s="4" t="s">
        <v>35</v>
      </c>
      <c r="I7" s="4"/>
      <c r="J7" s="5"/>
      <c r="K7" s="5"/>
      <c r="L7" s="4"/>
      <c r="M7" s="4" t="s">
        <v>60</v>
      </c>
      <c r="N7" s="4" t="s">
        <v>60</v>
      </c>
      <c r="O7" s="4" t="s">
        <v>36</v>
      </c>
      <c r="P7" s="4" t="s">
        <v>37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42</v>
      </c>
      <c r="V7" s="6" t="n">
        <v>46297</v>
      </c>
      <c r="W7" s="4" t="s">
        <v>50</v>
      </c>
    </row>
    <row r="8" customFormat="false" ht="15" hidden="false" customHeight="false" outlineLevel="0" collapsed="false">
      <c r="A8" s="4" t="s">
        <v>77</v>
      </c>
      <c r="B8" s="4" t="s">
        <v>78</v>
      </c>
      <c r="C8" s="4" t="s">
        <v>32</v>
      </c>
      <c r="D8" s="4" t="s">
        <v>33</v>
      </c>
      <c r="E8" s="4"/>
      <c r="F8" s="4" t="s">
        <v>34</v>
      </c>
      <c r="G8" s="4"/>
      <c r="H8" s="4" t="s">
        <v>35</v>
      </c>
      <c r="I8" s="4"/>
      <c r="J8" s="5"/>
      <c r="K8" s="5"/>
      <c r="L8" s="4"/>
      <c r="M8" s="4" t="s">
        <v>60</v>
      </c>
      <c r="N8" s="4" t="s">
        <v>60</v>
      </c>
      <c r="O8" s="4" t="s">
        <v>53</v>
      </c>
      <c r="P8" s="4"/>
      <c r="Q8" s="4" t="s">
        <v>79</v>
      </c>
      <c r="R8" s="4" t="s">
        <v>80</v>
      </c>
      <c r="S8" s="4"/>
      <c r="T8" s="4"/>
      <c r="U8" s="4" t="s">
        <v>56</v>
      </c>
      <c r="V8" s="6"/>
      <c r="W8" s="4" t="s">
        <v>57</v>
      </c>
    </row>
    <row r="9" customFormat="false" ht="15" hidden="false" customHeight="false" outlineLevel="0" collapsed="false">
      <c r="A9" s="4" t="s">
        <v>81</v>
      </c>
      <c r="B9" s="4" t="s">
        <v>82</v>
      </c>
      <c r="C9" s="4" t="s">
        <v>32</v>
      </c>
      <c r="D9" s="4" t="s">
        <v>33</v>
      </c>
      <c r="E9" s="4"/>
      <c r="F9" s="4" t="s">
        <v>34</v>
      </c>
      <c r="G9" s="4"/>
      <c r="H9" s="4" t="s">
        <v>35</v>
      </c>
      <c r="I9" s="4"/>
      <c r="J9" s="5"/>
      <c r="K9" s="5"/>
      <c r="L9" s="4"/>
      <c r="M9" s="4" t="s">
        <v>60</v>
      </c>
      <c r="N9" s="4" t="s">
        <v>60</v>
      </c>
      <c r="O9" s="4" t="s">
        <v>53</v>
      </c>
      <c r="P9" s="4"/>
      <c r="Q9" s="4" t="s">
        <v>83</v>
      </c>
      <c r="R9" s="4" t="s">
        <v>84</v>
      </c>
      <c r="S9" s="4"/>
      <c r="T9" s="4"/>
      <c r="U9" s="4" t="s">
        <v>56</v>
      </c>
      <c r="V9" s="6"/>
      <c r="W9" s="4" t="s">
        <v>57</v>
      </c>
    </row>
    <row r="10" customFormat="false" ht="15" hidden="false" customHeight="false" outlineLevel="0" collapsed="false">
      <c r="A10" s="4" t="s">
        <v>85</v>
      </c>
      <c r="B10" s="4" t="s">
        <v>86</v>
      </c>
      <c r="C10" s="4" t="s">
        <v>32</v>
      </c>
      <c r="D10" s="4" t="s">
        <v>33</v>
      </c>
      <c r="E10" s="4"/>
      <c r="F10" s="4" t="s">
        <v>34</v>
      </c>
      <c r="G10" s="4"/>
      <c r="H10" s="4" t="s">
        <v>35</v>
      </c>
      <c r="I10" s="4"/>
      <c r="J10" s="5"/>
      <c r="K10" s="5"/>
      <c r="L10" s="4"/>
      <c r="M10" s="4" t="s">
        <v>36</v>
      </c>
      <c r="N10" s="4" t="s">
        <v>36</v>
      </c>
      <c r="O10" s="4" t="s">
        <v>36</v>
      </c>
      <c r="P10" s="4" t="s">
        <v>37</v>
      </c>
      <c r="Q10" s="4" t="s">
        <v>87</v>
      </c>
      <c r="R10" s="4" t="s">
        <v>88</v>
      </c>
      <c r="S10" s="4" t="s">
        <v>63</v>
      </c>
      <c r="T10" s="4" t="s">
        <v>64</v>
      </c>
      <c r="U10" s="4" t="s">
        <v>42</v>
      </c>
      <c r="V10" s="6" t="n">
        <v>46297</v>
      </c>
      <c r="W10" s="4" t="s">
        <v>89</v>
      </c>
    </row>
    <row r="11" customFormat="false" ht="15" hidden="false" customHeight="false" outlineLevel="0" collapsed="false">
      <c r="A11" s="4" t="s">
        <v>90</v>
      </c>
      <c r="B11" s="4" t="s">
        <v>91</v>
      </c>
      <c r="C11" s="4" t="s">
        <v>32</v>
      </c>
      <c r="D11" s="4" t="s">
        <v>92</v>
      </c>
      <c r="E11" s="4"/>
      <c r="F11" s="4" t="s">
        <v>34</v>
      </c>
      <c r="G11" s="4"/>
      <c r="H11" s="4" t="s">
        <v>35</v>
      </c>
      <c r="I11" s="4"/>
      <c r="J11" s="5"/>
      <c r="K11" s="5"/>
      <c r="L11" s="4"/>
      <c r="M11" s="4" t="s">
        <v>60</v>
      </c>
      <c r="N11" s="4" t="s">
        <v>36</v>
      </c>
      <c r="O11" s="4" t="s">
        <v>53</v>
      </c>
      <c r="P11" s="4"/>
      <c r="Q11" s="4" t="s">
        <v>93</v>
      </c>
      <c r="R11" s="4" t="s">
        <v>94</v>
      </c>
      <c r="S11" s="4" t="s">
        <v>95</v>
      </c>
      <c r="T11" s="4" t="s">
        <v>96</v>
      </c>
      <c r="U11" s="4" t="s">
        <v>42</v>
      </c>
      <c r="V11" s="6" t="n">
        <v>46297</v>
      </c>
      <c r="W11" s="4" t="s">
        <v>50</v>
      </c>
    </row>
    <row r="12" customFormat="false" ht="15" hidden="false" customHeight="false" outlineLevel="0" collapsed="false">
      <c r="A12" s="4" t="s">
        <v>97</v>
      </c>
      <c r="B12" s="4" t="s">
        <v>98</v>
      </c>
      <c r="C12" s="4" t="s">
        <v>32</v>
      </c>
      <c r="D12" s="4" t="s">
        <v>92</v>
      </c>
      <c r="E12" s="4"/>
      <c r="F12" s="4" t="s">
        <v>34</v>
      </c>
      <c r="G12" s="4"/>
      <c r="H12" s="4" t="s">
        <v>35</v>
      </c>
      <c r="I12" s="4"/>
      <c r="J12" s="5"/>
      <c r="K12" s="5"/>
      <c r="L12" s="4"/>
      <c r="M12" s="4" t="s">
        <v>60</v>
      </c>
      <c r="N12" s="4" t="s">
        <v>36</v>
      </c>
      <c r="O12" s="4" t="s">
        <v>53</v>
      </c>
      <c r="P12" s="4"/>
      <c r="Q12" s="4" t="s">
        <v>99</v>
      </c>
      <c r="R12" s="4" t="s">
        <v>100</v>
      </c>
      <c r="S12" s="4"/>
      <c r="T12" s="4"/>
      <c r="U12" s="4" t="s">
        <v>56</v>
      </c>
      <c r="V12" s="6"/>
      <c r="W12" s="4" t="s">
        <v>57</v>
      </c>
    </row>
    <row r="13" customFormat="false" ht="15" hidden="false" customHeight="false" outlineLevel="0" collapsed="false">
      <c r="A13" s="4" t="s">
        <v>101</v>
      </c>
      <c r="B13" s="4" t="s">
        <v>102</v>
      </c>
      <c r="C13" s="4" t="s">
        <v>103</v>
      </c>
      <c r="D13" s="4" t="s">
        <v>92</v>
      </c>
      <c r="E13" s="4"/>
      <c r="F13" s="4" t="s">
        <v>34</v>
      </c>
      <c r="G13" s="4"/>
      <c r="H13" s="4" t="s">
        <v>35</v>
      </c>
      <c r="I13" s="4"/>
      <c r="J13" s="5"/>
      <c r="K13" s="5"/>
      <c r="L13" s="4"/>
      <c r="M13" s="4" t="s">
        <v>60</v>
      </c>
      <c r="N13" s="4" t="s">
        <v>36</v>
      </c>
      <c r="O13" s="4" t="s">
        <v>36</v>
      </c>
      <c r="P13" s="4" t="s">
        <v>104</v>
      </c>
      <c r="Q13" s="4" t="s">
        <v>105</v>
      </c>
      <c r="R13" s="4" t="s">
        <v>106</v>
      </c>
      <c r="S13" s="4" t="s">
        <v>107</v>
      </c>
      <c r="T13" s="4" t="s">
        <v>108</v>
      </c>
      <c r="U13" s="4" t="s">
        <v>42</v>
      </c>
      <c r="V13" s="6" t="n">
        <v>46297</v>
      </c>
      <c r="W13" s="4" t="s">
        <v>50</v>
      </c>
    </row>
    <row r="14" customFormat="false" ht="15" hidden="false" customHeight="false" outlineLevel="0" collapsed="false">
      <c r="A14" s="4" t="s">
        <v>109</v>
      </c>
      <c r="B14" s="4" t="s">
        <v>110</v>
      </c>
      <c r="C14" s="4" t="s">
        <v>111</v>
      </c>
      <c r="D14" s="4" t="s">
        <v>112</v>
      </c>
      <c r="E14" s="4"/>
      <c r="F14" s="4" t="s">
        <v>34</v>
      </c>
      <c r="G14" s="4"/>
      <c r="H14" s="4" t="s">
        <v>35</v>
      </c>
      <c r="I14" s="4"/>
      <c r="J14" s="5"/>
      <c r="K14" s="5"/>
      <c r="L14" s="4"/>
      <c r="M14" s="4" t="s">
        <v>36</v>
      </c>
      <c r="N14" s="4" t="s">
        <v>36</v>
      </c>
      <c r="O14" s="4" t="s">
        <v>53</v>
      </c>
      <c r="P14" s="4"/>
      <c r="Q14" s="4" t="s">
        <v>113</v>
      </c>
      <c r="R14" s="4" t="s">
        <v>114</v>
      </c>
      <c r="S14" s="4" t="s">
        <v>95</v>
      </c>
      <c r="T14" s="4" t="s">
        <v>96</v>
      </c>
      <c r="U14" s="4" t="s">
        <v>42</v>
      </c>
      <c r="V14" s="6" t="n">
        <v>46297</v>
      </c>
      <c r="W14" s="4" t="s">
        <v>50</v>
      </c>
    </row>
    <row r="15" customFormat="false" ht="15" hidden="false" customHeight="false" outlineLevel="0" collapsed="false">
      <c r="A15" s="4" t="s">
        <v>115</v>
      </c>
      <c r="B15" s="4" t="s">
        <v>116</v>
      </c>
      <c r="C15" s="4" t="s">
        <v>117</v>
      </c>
      <c r="D15" s="4" t="s">
        <v>118</v>
      </c>
      <c r="E15" s="4"/>
      <c r="F15" s="4" t="s">
        <v>34</v>
      </c>
      <c r="G15" s="4"/>
      <c r="H15" s="4" t="s">
        <v>35</v>
      </c>
      <c r="I15" s="4"/>
      <c r="J15" s="5"/>
      <c r="K15" s="5"/>
      <c r="L15" s="4"/>
      <c r="M15" s="4" t="s">
        <v>60</v>
      </c>
      <c r="N15" s="4" t="s">
        <v>36</v>
      </c>
      <c r="O15" s="4" t="s">
        <v>53</v>
      </c>
      <c r="P15" s="4"/>
      <c r="Q15" s="4"/>
      <c r="R15" s="4" t="s">
        <v>119</v>
      </c>
      <c r="S15" s="4"/>
      <c r="T15" s="4"/>
      <c r="U15" s="4" t="s">
        <v>56</v>
      </c>
      <c r="V15" s="6"/>
      <c r="W15" s="4" t="s">
        <v>57</v>
      </c>
    </row>
    <row r="16" customFormat="false" ht="15" hidden="false" customHeight="false" outlineLevel="0" collapsed="false">
      <c r="A16" s="4" t="s">
        <v>120</v>
      </c>
      <c r="B16" s="4" t="s">
        <v>121</v>
      </c>
      <c r="C16" s="4" t="s">
        <v>117</v>
      </c>
      <c r="D16" s="4" t="s">
        <v>122</v>
      </c>
      <c r="E16" s="4"/>
      <c r="F16" s="4" t="s">
        <v>34</v>
      </c>
      <c r="G16" s="4"/>
      <c r="H16" s="4" t="s">
        <v>35</v>
      </c>
      <c r="I16" s="4"/>
      <c r="J16" s="5"/>
      <c r="K16" s="5"/>
      <c r="L16" s="4"/>
      <c r="M16" s="4" t="s">
        <v>60</v>
      </c>
      <c r="N16" s="4" t="s">
        <v>36</v>
      </c>
      <c r="O16" s="4" t="s">
        <v>53</v>
      </c>
      <c r="P16" s="4"/>
      <c r="Q16" s="4" t="s">
        <v>123</v>
      </c>
      <c r="R16" s="4" t="s">
        <v>124</v>
      </c>
      <c r="S16" s="4"/>
      <c r="T16" s="4"/>
      <c r="U16" s="4" t="s">
        <v>56</v>
      </c>
      <c r="V16" s="6"/>
      <c r="W16" s="4" t="s">
        <v>57</v>
      </c>
    </row>
    <row r="17" customFormat="false" ht="15" hidden="false" customHeight="false" outlineLevel="0" collapsed="false">
      <c r="A17" s="4" t="s">
        <v>125</v>
      </c>
      <c r="B17" s="4" t="s">
        <v>126</v>
      </c>
      <c r="C17" s="4" t="s">
        <v>117</v>
      </c>
      <c r="D17" s="4" t="s">
        <v>127</v>
      </c>
      <c r="E17" s="4"/>
      <c r="F17" s="4" t="s">
        <v>34</v>
      </c>
      <c r="G17" s="4"/>
      <c r="H17" s="4" t="s">
        <v>35</v>
      </c>
      <c r="I17" s="4"/>
      <c r="J17" s="5"/>
      <c r="K17" s="5"/>
      <c r="L17" s="4"/>
      <c r="M17" s="4" t="s">
        <v>60</v>
      </c>
      <c r="N17" s="4" t="s">
        <v>36</v>
      </c>
      <c r="O17" s="4" t="s">
        <v>53</v>
      </c>
      <c r="P17" s="4"/>
      <c r="Q17" s="4"/>
      <c r="R17" s="4" t="s">
        <v>128</v>
      </c>
      <c r="S17" s="4"/>
      <c r="T17" s="4"/>
      <c r="U17" s="4" t="s">
        <v>56</v>
      </c>
      <c r="V17" s="6"/>
      <c r="W17" s="4" t="s">
        <v>57</v>
      </c>
    </row>
    <row r="18" customFormat="false" ht="15" hidden="false" customHeight="false" outlineLevel="0" collapsed="false">
      <c r="A18" s="4" t="s">
        <v>129</v>
      </c>
      <c r="B18" s="4" t="s">
        <v>130</v>
      </c>
      <c r="C18" s="4" t="s">
        <v>117</v>
      </c>
      <c r="D18" s="4" t="s">
        <v>131</v>
      </c>
      <c r="E18" s="4"/>
      <c r="F18" s="4" t="s">
        <v>34</v>
      </c>
      <c r="G18" s="4"/>
      <c r="H18" s="4" t="s">
        <v>35</v>
      </c>
      <c r="I18" s="4"/>
      <c r="J18" s="5"/>
      <c r="K18" s="5"/>
      <c r="L18" s="4"/>
      <c r="M18" s="4" t="s">
        <v>60</v>
      </c>
      <c r="N18" s="4" t="s">
        <v>36</v>
      </c>
      <c r="O18" s="4" t="s">
        <v>53</v>
      </c>
      <c r="P18" s="4"/>
      <c r="Q18" s="4" t="s">
        <v>132</v>
      </c>
      <c r="R18" s="4" t="s">
        <v>133</v>
      </c>
      <c r="S18" s="4"/>
      <c r="T18" s="4"/>
      <c r="U18" s="4" t="s">
        <v>56</v>
      </c>
      <c r="V18" s="6"/>
      <c r="W18" s="4" t="s">
        <v>57</v>
      </c>
    </row>
    <row r="19" customFormat="false" ht="15" hidden="false" customHeight="false" outlineLevel="0" collapsed="false">
      <c r="A19" s="4" t="s">
        <v>134</v>
      </c>
      <c r="B19" s="4" t="s">
        <v>135</v>
      </c>
      <c r="C19" s="4" t="s">
        <v>117</v>
      </c>
      <c r="D19" s="4" t="s">
        <v>136</v>
      </c>
      <c r="E19" s="4"/>
      <c r="F19" s="4" t="s">
        <v>34</v>
      </c>
      <c r="G19" s="4"/>
      <c r="H19" s="4" t="s">
        <v>35</v>
      </c>
      <c r="I19" s="4"/>
      <c r="J19" s="5"/>
      <c r="K19" s="5"/>
      <c r="L19" s="4"/>
      <c r="M19" s="4" t="s">
        <v>60</v>
      </c>
      <c r="N19" s="4" t="s">
        <v>36</v>
      </c>
      <c r="O19" s="4" t="s">
        <v>53</v>
      </c>
      <c r="P19" s="4"/>
      <c r="Q19" s="4" t="s">
        <v>137</v>
      </c>
      <c r="R19" s="4" t="s">
        <v>138</v>
      </c>
      <c r="S19" s="4"/>
      <c r="T19" s="4"/>
      <c r="U19" s="4" t="s">
        <v>56</v>
      </c>
      <c r="V19" s="6"/>
      <c r="W19" s="4" t="s">
        <v>57</v>
      </c>
    </row>
    <row r="20" customFormat="false" ht="15" hidden="false" customHeight="false" outlineLevel="0" collapsed="false">
      <c r="A20" s="4" t="s">
        <v>139</v>
      </c>
      <c r="B20" s="4" t="s">
        <v>140</v>
      </c>
      <c r="C20" s="4" t="s">
        <v>117</v>
      </c>
      <c r="D20" s="4" t="s">
        <v>141</v>
      </c>
      <c r="E20" s="4"/>
      <c r="F20" s="4" t="s">
        <v>34</v>
      </c>
      <c r="G20" s="4"/>
      <c r="H20" s="4" t="s">
        <v>35</v>
      </c>
      <c r="I20" s="4"/>
      <c r="J20" s="5"/>
      <c r="K20" s="5"/>
      <c r="L20" s="4"/>
      <c r="M20" s="4" t="s">
        <v>60</v>
      </c>
      <c r="N20" s="4" t="s">
        <v>36</v>
      </c>
      <c r="O20" s="4" t="s">
        <v>53</v>
      </c>
      <c r="P20" s="4"/>
      <c r="Q20" s="4"/>
      <c r="R20" s="4" t="s">
        <v>142</v>
      </c>
      <c r="S20" s="4"/>
      <c r="T20" s="4"/>
      <c r="U20" s="4" t="s">
        <v>56</v>
      </c>
      <c r="V20" s="6"/>
      <c r="W20" s="4" t="s">
        <v>57</v>
      </c>
    </row>
    <row r="21" customFormat="false" ht="15" hidden="false" customHeight="false" outlineLevel="0" collapsed="false">
      <c r="A21" s="4" t="s">
        <v>143</v>
      </c>
      <c r="B21" s="4" t="s">
        <v>144</v>
      </c>
      <c r="C21" s="4" t="s">
        <v>117</v>
      </c>
      <c r="D21" s="4" t="s">
        <v>145</v>
      </c>
      <c r="E21" s="4"/>
      <c r="F21" s="4" t="s">
        <v>34</v>
      </c>
      <c r="G21" s="4"/>
      <c r="H21" s="4" t="s">
        <v>35</v>
      </c>
      <c r="I21" s="4"/>
      <c r="J21" s="5"/>
      <c r="K21" s="5"/>
      <c r="L21" s="4"/>
      <c r="M21" s="4" t="s">
        <v>60</v>
      </c>
      <c r="N21" s="4" t="s">
        <v>36</v>
      </c>
      <c r="O21" s="4" t="s">
        <v>53</v>
      </c>
      <c r="P21" s="4"/>
      <c r="Q21" s="4" t="s">
        <v>146</v>
      </c>
      <c r="R21" s="4" t="s">
        <v>147</v>
      </c>
      <c r="S21" s="4"/>
      <c r="T21" s="4"/>
      <c r="U21" s="4" t="s">
        <v>56</v>
      </c>
      <c r="V21" s="6"/>
      <c r="W21" s="4" t="s">
        <v>57</v>
      </c>
    </row>
    <row r="22" customFormat="false" ht="15" hidden="false" customHeight="false" outlineLevel="0" collapsed="false">
      <c r="A22" s="4" t="s">
        <v>148</v>
      </c>
      <c r="B22" s="4" t="s">
        <v>149</v>
      </c>
      <c r="C22" s="4" t="s">
        <v>117</v>
      </c>
      <c r="D22" s="4" t="s">
        <v>150</v>
      </c>
      <c r="E22" s="4"/>
      <c r="F22" s="4" t="s">
        <v>34</v>
      </c>
      <c r="G22" s="4"/>
      <c r="H22" s="4" t="s">
        <v>35</v>
      </c>
      <c r="I22" s="4"/>
      <c r="J22" s="5"/>
      <c r="K22" s="5"/>
      <c r="L22" s="4"/>
      <c r="M22" s="4" t="s">
        <v>60</v>
      </c>
      <c r="N22" s="4" t="s">
        <v>36</v>
      </c>
      <c r="O22" s="4" t="s">
        <v>53</v>
      </c>
      <c r="P22" s="4"/>
      <c r="Q22" s="4" t="s">
        <v>151</v>
      </c>
      <c r="R22" s="4" t="s">
        <v>152</v>
      </c>
      <c r="S22" s="4"/>
      <c r="T22" s="4"/>
      <c r="U22" s="4" t="s">
        <v>56</v>
      </c>
      <c r="V22" s="6"/>
      <c r="W22" s="4" t="s">
        <v>57</v>
      </c>
    </row>
    <row r="23" customFormat="false" ht="15" hidden="false" customHeight="false" outlineLevel="0" collapsed="false">
      <c r="A23" s="4" t="s">
        <v>153</v>
      </c>
      <c r="B23" s="4" t="s">
        <v>154</v>
      </c>
      <c r="C23" s="4" t="s">
        <v>117</v>
      </c>
      <c r="D23" s="4" t="s">
        <v>155</v>
      </c>
      <c r="E23" s="4"/>
      <c r="F23" s="4" t="s">
        <v>34</v>
      </c>
      <c r="G23" s="4"/>
      <c r="H23" s="4" t="s">
        <v>35</v>
      </c>
      <c r="I23" s="4"/>
      <c r="J23" s="5"/>
      <c r="K23" s="5"/>
      <c r="L23" s="4"/>
      <c r="M23" s="4" t="s">
        <v>36</v>
      </c>
      <c r="N23" s="4" t="s">
        <v>36</v>
      </c>
      <c r="O23" s="4" t="s">
        <v>53</v>
      </c>
      <c r="P23" s="4"/>
      <c r="Q23" s="4" t="s">
        <v>156</v>
      </c>
      <c r="R23" s="4" t="s">
        <v>157</v>
      </c>
      <c r="S23" s="4"/>
      <c r="T23" s="4"/>
      <c r="U23" s="4" t="s">
        <v>56</v>
      </c>
      <c r="V23" s="6"/>
      <c r="W23" s="4" t="s">
        <v>57</v>
      </c>
    </row>
    <row r="24" customFormat="false" ht="15" hidden="false" customHeight="false" outlineLevel="0" collapsed="false">
      <c r="A24" s="4" t="s">
        <v>158</v>
      </c>
      <c r="B24" s="4" t="s">
        <v>159</v>
      </c>
      <c r="C24" s="4" t="s">
        <v>117</v>
      </c>
      <c r="D24" s="4" t="s">
        <v>160</v>
      </c>
      <c r="E24" s="4"/>
      <c r="F24" s="4" t="s">
        <v>34</v>
      </c>
      <c r="G24" s="4"/>
      <c r="H24" s="4" t="s">
        <v>35</v>
      </c>
      <c r="I24" s="4"/>
      <c r="J24" s="5"/>
      <c r="K24" s="5"/>
      <c r="L24" s="4"/>
      <c r="M24" s="4" t="s">
        <v>36</v>
      </c>
      <c r="N24" s="4" t="s">
        <v>36</v>
      </c>
      <c r="O24" s="4" t="s">
        <v>53</v>
      </c>
      <c r="P24" s="4"/>
      <c r="Q24" s="4" t="s">
        <v>161</v>
      </c>
      <c r="R24" s="4" t="s">
        <v>162</v>
      </c>
      <c r="S24" s="4"/>
      <c r="T24" s="4"/>
      <c r="U24" s="4" t="s">
        <v>56</v>
      </c>
      <c r="V24" s="6"/>
      <c r="W24" s="4" t="s">
        <v>57</v>
      </c>
    </row>
    <row r="25" customFormat="false" ht="15" hidden="false" customHeight="false" outlineLevel="0" collapsed="false">
      <c r="A25" s="4" t="s">
        <v>163</v>
      </c>
      <c r="B25" s="4" t="s">
        <v>164</v>
      </c>
      <c r="C25" s="4" t="s">
        <v>117</v>
      </c>
      <c r="D25" s="4" t="s">
        <v>165</v>
      </c>
      <c r="E25" s="4"/>
      <c r="F25" s="4" t="s">
        <v>34</v>
      </c>
      <c r="G25" s="4"/>
      <c r="H25" s="4" t="s">
        <v>35</v>
      </c>
      <c r="I25" s="4"/>
      <c r="J25" s="5"/>
      <c r="K25" s="5"/>
      <c r="L25" s="4"/>
      <c r="M25" s="4" t="s">
        <v>60</v>
      </c>
      <c r="N25" s="4" t="s">
        <v>36</v>
      </c>
      <c r="O25" s="4" t="s">
        <v>53</v>
      </c>
      <c r="P25" s="4"/>
      <c r="Q25" s="4"/>
      <c r="R25" s="4" t="s">
        <v>166</v>
      </c>
      <c r="S25" s="4"/>
      <c r="T25" s="4"/>
      <c r="U25" s="4" t="s">
        <v>56</v>
      </c>
      <c r="V25" s="6"/>
      <c r="W25" s="4" t="s">
        <v>57</v>
      </c>
    </row>
    <row r="26" customFormat="false" ht="15" hidden="false" customHeight="false" outlineLevel="0" collapsed="false">
      <c r="A26" s="4" t="s">
        <v>167</v>
      </c>
      <c r="B26" s="4" t="s">
        <v>168</v>
      </c>
      <c r="C26" s="4" t="s">
        <v>117</v>
      </c>
      <c r="D26" s="4" t="s">
        <v>169</v>
      </c>
      <c r="E26" s="4"/>
      <c r="F26" s="4" t="s">
        <v>34</v>
      </c>
      <c r="G26" s="4"/>
      <c r="H26" s="4" t="s">
        <v>35</v>
      </c>
      <c r="I26" s="4"/>
      <c r="J26" s="5"/>
      <c r="K26" s="5"/>
      <c r="L26" s="4"/>
      <c r="M26" s="4" t="s">
        <v>36</v>
      </c>
      <c r="N26" s="4" t="s">
        <v>36</v>
      </c>
      <c r="O26" s="4" t="s">
        <v>53</v>
      </c>
      <c r="P26" s="4"/>
      <c r="Q26" s="4" t="s">
        <v>170</v>
      </c>
      <c r="R26" s="4" t="s">
        <v>171</v>
      </c>
      <c r="S26" s="4"/>
      <c r="T26" s="4"/>
      <c r="U26" s="4" t="s">
        <v>56</v>
      </c>
      <c r="V26" s="6"/>
      <c r="W26" s="4" t="s">
        <v>57</v>
      </c>
    </row>
    <row r="27" customFormat="false" ht="15" hidden="false" customHeight="false" outlineLevel="0" collapsed="false">
      <c r="A27" s="4" t="s">
        <v>172</v>
      </c>
      <c r="B27" s="4" t="s">
        <v>173</v>
      </c>
      <c r="C27" s="4" t="s">
        <v>117</v>
      </c>
      <c r="D27" s="4" t="s">
        <v>174</v>
      </c>
      <c r="E27" s="4"/>
      <c r="F27" s="4" t="s">
        <v>34</v>
      </c>
      <c r="G27" s="4"/>
      <c r="H27" s="4" t="s">
        <v>35</v>
      </c>
      <c r="I27" s="4"/>
      <c r="J27" s="5"/>
      <c r="K27" s="5"/>
      <c r="L27" s="4"/>
      <c r="M27" s="4" t="s">
        <v>60</v>
      </c>
      <c r="N27" s="4" t="s">
        <v>36</v>
      </c>
      <c r="O27" s="4" t="s">
        <v>53</v>
      </c>
      <c r="P27" s="4"/>
      <c r="Q27" s="4" t="s">
        <v>175</v>
      </c>
      <c r="R27" s="4" t="s">
        <v>176</v>
      </c>
      <c r="S27" s="4"/>
      <c r="T27" s="4"/>
      <c r="U27" s="4" t="s">
        <v>56</v>
      </c>
      <c r="V27" s="6"/>
      <c r="W27" s="4" t="s">
        <v>57</v>
      </c>
    </row>
    <row r="28" customFormat="false" ht="15" hidden="false" customHeight="false" outlineLevel="0" collapsed="false">
      <c r="A28" s="4" t="s">
        <v>177</v>
      </c>
      <c r="B28" s="4" t="s">
        <v>178</v>
      </c>
      <c r="C28" s="4" t="s">
        <v>117</v>
      </c>
      <c r="D28" s="4" t="s">
        <v>179</v>
      </c>
      <c r="E28" s="4"/>
      <c r="F28" s="4" t="s">
        <v>34</v>
      </c>
      <c r="G28" s="4"/>
      <c r="H28" s="4" t="s">
        <v>35</v>
      </c>
      <c r="I28" s="4"/>
      <c r="J28" s="5"/>
      <c r="K28" s="5"/>
      <c r="L28" s="4"/>
      <c r="M28" s="4" t="s">
        <v>60</v>
      </c>
      <c r="N28" s="4" t="s">
        <v>36</v>
      </c>
      <c r="O28" s="4" t="s">
        <v>53</v>
      </c>
      <c r="P28" s="4"/>
      <c r="Q28" s="4"/>
      <c r="R28" s="4" t="s">
        <v>180</v>
      </c>
      <c r="S28" s="4"/>
      <c r="T28" s="4"/>
      <c r="U28" s="4" t="s">
        <v>56</v>
      </c>
      <c r="V28" s="6"/>
      <c r="W28" s="4" t="s">
        <v>57</v>
      </c>
    </row>
    <row r="29" customFormat="false" ht="15" hidden="false" customHeight="false" outlineLevel="0" collapsed="false">
      <c r="A29" s="4" t="s">
        <v>181</v>
      </c>
      <c r="B29" s="4" t="s">
        <v>182</v>
      </c>
      <c r="C29" s="4" t="s">
        <v>117</v>
      </c>
      <c r="D29" s="4" t="s">
        <v>183</v>
      </c>
      <c r="E29" s="4"/>
      <c r="F29" s="4" t="s">
        <v>34</v>
      </c>
      <c r="G29" s="4"/>
      <c r="H29" s="4" t="s">
        <v>35</v>
      </c>
      <c r="I29" s="4"/>
      <c r="J29" s="5"/>
      <c r="K29" s="5"/>
      <c r="L29" s="4"/>
      <c r="M29" s="4" t="s">
        <v>60</v>
      </c>
      <c r="N29" s="4" t="s">
        <v>36</v>
      </c>
      <c r="O29" s="4" t="s">
        <v>53</v>
      </c>
      <c r="P29" s="4"/>
      <c r="Q29" s="4"/>
      <c r="R29" s="4" t="s">
        <v>184</v>
      </c>
      <c r="S29" s="4"/>
      <c r="T29" s="4"/>
      <c r="U29" s="4" t="s">
        <v>56</v>
      </c>
      <c r="V29" s="6"/>
      <c r="W29" s="4" t="s">
        <v>57</v>
      </c>
    </row>
    <row r="30" customFormat="false" ht="15" hidden="false" customHeight="false" outlineLevel="0" collapsed="false">
      <c r="A30" s="4" t="s">
        <v>185</v>
      </c>
      <c r="B30" s="4" t="s">
        <v>186</v>
      </c>
      <c r="C30" s="4" t="s">
        <v>117</v>
      </c>
      <c r="D30" s="4" t="s">
        <v>187</v>
      </c>
      <c r="E30" s="4"/>
      <c r="F30" s="4" t="s">
        <v>34</v>
      </c>
      <c r="G30" s="4"/>
      <c r="H30" s="4" t="s">
        <v>35</v>
      </c>
      <c r="I30" s="4"/>
      <c r="J30" s="5"/>
      <c r="K30" s="5"/>
      <c r="L30" s="4"/>
      <c r="M30" s="4" t="s">
        <v>60</v>
      </c>
      <c r="N30" s="4" t="s">
        <v>36</v>
      </c>
      <c r="O30" s="4" t="s">
        <v>53</v>
      </c>
      <c r="P30" s="4"/>
      <c r="Q30" s="4"/>
      <c r="R30" s="4" t="s">
        <v>188</v>
      </c>
      <c r="S30" s="4"/>
      <c r="T30" s="4"/>
      <c r="U30" s="4" t="s">
        <v>56</v>
      </c>
      <c r="V30" s="6"/>
      <c r="W30" s="4" t="s">
        <v>57</v>
      </c>
    </row>
    <row r="31" customFormat="false" ht="15" hidden="false" customHeight="false" outlineLevel="0" collapsed="false">
      <c r="A31" s="4" t="s">
        <v>189</v>
      </c>
      <c r="B31" s="4" t="s">
        <v>190</v>
      </c>
      <c r="C31" s="4" t="s">
        <v>117</v>
      </c>
      <c r="D31" s="4" t="s">
        <v>191</v>
      </c>
      <c r="E31" s="4"/>
      <c r="F31" s="4" t="s">
        <v>34</v>
      </c>
      <c r="G31" s="4"/>
      <c r="H31" s="4" t="s">
        <v>35</v>
      </c>
      <c r="I31" s="4"/>
      <c r="J31" s="5"/>
      <c r="K31" s="5"/>
      <c r="L31" s="4"/>
      <c r="M31" s="4" t="s">
        <v>60</v>
      </c>
      <c r="N31" s="4" t="s">
        <v>36</v>
      </c>
      <c r="O31" s="4" t="s">
        <v>53</v>
      </c>
      <c r="P31" s="4"/>
      <c r="Q31" s="4" t="s">
        <v>192</v>
      </c>
      <c r="R31" s="4" t="s">
        <v>193</v>
      </c>
      <c r="S31" s="4"/>
      <c r="T31" s="4"/>
      <c r="U31" s="4" t="s">
        <v>56</v>
      </c>
      <c r="V31" s="6"/>
      <c r="W31" s="4" t="s">
        <v>57</v>
      </c>
    </row>
    <row r="32" customFormat="false" ht="15" hidden="false" customHeight="false" outlineLevel="0" collapsed="false">
      <c r="A32" s="4" t="s">
        <v>194</v>
      </c>
      <c r="B32" s="4" t="s">
        <v>195</v>
      </c>
      <c r="C32" s="4" t="s">
        <v>117</v>
      </c>
      <c r="D32" s="4" t="s">
        <v>196</v>
      </c>
      <c r="E32" s="4"/>
      <c r="F32" s="4" t="s">
        <v>34</v>
      </c>
      <c r="G32" s="4"/>
      <c r="H32" s="4" t="s">
        <v>35</v>
      </c>
      <c r="I32" s="4"/>
      <c r="J32" s="5"/>
      <c r="K32" s="5"/>
      <c r="L32" s="4"/>
      <c r="M32" s="4" t="s">
        <v>60</v>
      </c>
      <c r="N32" s="4" t="s">
        <v>36</v>
      </c>
      <c r="O32" s="4" t="s">
        <v>53</v>
      </c>
      <c r="P32" s="4"/>
      <c r="Q32" s="4"/>
      <c r="R32" s="4" t="s">
        <v>197</v>
      </c>
      <c r="S32" s="4"/>
      <c r="T32" s="4"/>
      <c r="U32" s="4" t="s">
        <v>56</v>
      </c>
      <c r="V32" s="6"/>
      <c r="W32" s="4" t="s">
        <v>57</v>
      </c>
    </row>
    <row r="33" customFormat="false" ht="15" hidden="false" customHeight="false" outlineLevel="0" collapsed="false">
      <c r="A33" s="4" t="s">
        <v>198</v>
      </c>
      <c r="B33" s="4" t="s">
        <v>199</v>
      </c>
      <c r="C33" s="4" t="s">
        <v>117</v>
      </c>
      <c r="D33" s="4" t="s">
        <v>200</v>
      </c>
      <c r="E33" s="4"/>
      <c r="F33" s="4" t="s">
        <v>34</v>
      </c>
      <c r="G33" s="4"/>
      <c r="H33" s="4" t="s">
        <v>35</v>
      </c>
      <c r="I33" s="4"/>
      <c r="J33" s="5"/>
      <c r="K33" s="5"/>
      <c r="L33" s="4"/>
      <c r="M33" s="4" t="s">
        <v>60</v>
      </c>
      <c r="N33" s="4" t="s">
        <v>36</v>
      </c>
      <c r="O33" s="4" t="s">
        <v>53</v>
      </c>
      <c r="P33" s="4"/>
      <c r="Q33" s="4"/>
      <c r="R33" s="4" t="s">
        <v>201</v>
      </c>
      <c r="S33" s="4"/>
      <c r="T33" s="4"/>
      <c r="U33" s="4" t="s">
        <v>56</v>
      </c>
      <c r="V33" s="6"/>
      <c r="W33" s="4" t="s">
        <v>57</v>
      </c>
    </row>
    <row r="34" customFormat="false" ht="15" hidden="false" customHeight="false" outlineLevel="0" collapsed="false">
      <c r="A34" s="4" t="s">
        <v>202</v>
      </c>
      <c r="B34" s="4" t="s">
        <v>203</v>
      </c>
      <c r="C34" s="4" t="s">
        <v>117</v>
      </c>
      <c r="D34" s="4" t="s">
        <v>204</v>
      </c>
      <c r="E34" s="4"/>
      <c r="F34" s="4" t="s">
        <v>34</v>
      </c>
      <c r="G34" s="4"/>
      <c r="H34" s="4" t="s">
        <v>35</v>
      </c>
      <c r="I34" s="4"/>
      <c r="J34" s="5"/>
      <c r="K34" s="5"/>
      <c r="L34" s="4"/>
      <c r="M34" s="4" t="s">
        <v>60</v>
      </c>
      <c r="N34" s="4" t="s">
        <v>36</v>
      </c>
      <c r="O34" s="4" t="s">
        <v>53</v>
      </c>
      <c r="P34" s="4"/>
      <c r="Q34" s="4"/>
      <c r="R34" s="4" t="s">
        <v>205</v>
      </c>
      <c r="S34" s="4"/>
      <c r="T34" s="4"/>
      <c r="U34" s="4" t="s">
        <v>56</v>
      </c>
      <c r="V34" s="6"/>
      <c r="W34" s="4" t="s">
        <v>57</v>
      </c>
    </row>
    <row r="35" customFormat="false" ht="15" hidden="false" customHeight="false" outlineLevel="0" collapsed="false">
      <c r="A35" s="4" t="s">
        <v>206</v>
      </c>
      <c r="B35" s="4" t="s">
        <v>207</v>
      </c>
      <c r="C35" s="4" t="s">
        <v>117</v>
      </c>
      <c r="D35" s="4" t="s">
        <v>208</v>
      </c>
      <c r="E35" s="4"/>
      <c r="F35" s="4" t="s">
        <v>34</v>
      </c>
      <c r="G35" s="4"/>
      <c r="H35" s="4" t="s">
        <v>35</v>
      </c>
      <c r="I35" s="4"/>
      <c r="J35" s="5"/>
      <c r="K35" s="5"/>
      <c r="L35" s="4"/>
      <c r="M35" s="4" t="s">
        <v>60</v>
      </c>
      <c r="N35" s="4" t="s">
        <v>36</v>
      </c>
      <c r="O35" s="4" t="s">
        <v>53</v>
      </c>
      <c r="P35" s="4"/>
      <c r="Q35" s="4"/>
      <c r="R35" s="4" t="s">
        <v>209</v>
      </c>
      <c r="S35" s="4"/>
      <c r="T35" s="4"/>
      <c r="U35" s="4" t="s">
        <v>56</v>
      </c>
      <c r="V35" s="6"/>
      <c r="W35" s="4" t="s">
        <v>57</v>
      </c>
    </row>
    <row r="36" customFormat="false" ht="15" hidden="false" customHeight="false" outlineLevel="0" collapsed="false">
      <c r="A36" s="4" t="s">
        <v>210</v>
      </c>
      <c r="B36" s="4" t="s">
        <v>211</v>
      </c>
      <c r="C36" s="4" t="s">
        <v>117</v>
      </c>
      <c r="D36" s="4" t="s">
        <v>212</v>
      </c>
      <c r="E36" s="4"/>
      <c r="F36" s="4" t="s">
        <v>34</v>
      </c>
      <c r="G36" s="4"/>
      <c r="H36" s="4" t="s">
        <v>35</v>
      </c>
      <c r="I36" s="4"/>
      <c r="J36" s="5"/>
      <c r="K36" s="5"/>
      <c r="L36" s="4"/>
      <c r="M36" s="4" t="s">
        <v>60</v>
      </c>
      <c r="N36" s="4" t="s">
        <v>36</v>
      </c>
      <c r="O36" s="4" t="s">
        <v>53</v>
      </c>
      <c r="P36" s="4"/>
      <c r="Q36" s="4" t="s">
        <v>213</v>
      </c>
      <c r="R36" s="4" t="s">
        <v>214</v>
      </c>
      <c r="S36" s="4"/>
      <c r="T36" s="4"/>
      <c r="U36" s="4" t="s">
        <v>56</v>
      </c>
      <c r="V36" s="6"/>
      <c r="W36" s="4" t="s">
        <v>57</v>
      </c>
    </row>
    <row r="37" customFormat="false" ht="15" hidden="false" customHeight="false" outlineLevel="0" collapsed="false">
      <c r="A37" s="4" t="s">
        <v>215</v>
      </c>
      <c r="B37" s="4" t="s">
        <v>216</v>
      </c>
      <c r="C37" s="4" t="s">
        <v>117</v>
      </c>
      <c r="D37" s="4" t="s">
        <v>217</v>
      </c>
      <c r="E37" s="4"/>
      <c r="F37" s="4" t="s">
        <v>34</v>
      </c>
      <c r="G37" s="4"/>
      <c r="H37" s="4" t="s">
        <v>35</v>
      </c>
      <c r="I37" s="4"/>
      <c r="J37" s="5"/>
      <c r="K37" s="5"/>
      <c r="L37" s="4"/>
      <c r="M37" s="4" t="s">
        <v>60</v>
      </c>
      <c r="N37" s="4" t="s">
        <v>36</v>
      </c>
      <c r="O37" s="4" t="s">
        <v>53</v>
      </c>
      <c r="P37" s="4"/>
      <c r="Q37" s="4" t="s">
        <v>218</v>
      </c>
      <c r="R37" s="4" t="s">
        <v>219</v>
      </c>
      <c r="S37" s="4"/>
      <c r="T37" s="4"/>
      <c r="U37" s="4" t="s">
        <v>56</v>
      </c>
      <c r="V37" s="6"/>
      <c r="W37" s="4" t="s">
        <v>57</v>
      </c>
    </row>
    <row r="38" customFormat="false" ht="15" hidden="false" customHeight="false" outlineLevel="0" collapsed="false">
      <c r="A38" s="4" t="s">
        <v>220</v>
      </c>
      <c r="B38" s="4" t="s">
        <v>221</v>
      </c>
      <c r="C38" s="4" t="s">
        <v>117</v>
      </c>
      <c r="D38" s="4" t="s">
        <v>222</v>
      </c>
      <c r="E38" s="4"/>
      <c r="F38" s="4" t="s">
        <v>34</v>
      </c>
      <c r="G38" s="4"/>
      <c r="H38" s="4" t="s">
        <v>35</v>
      </c>
      <c r="I38" s="4"/>
      <c r="J38" s="5"/>
      <c r="K38" s="5"/>
      <c r="L38" s="4"/>
      <c r="M38" s="4" t="s">
        <v>60</v>
      </c>
      <c r="N38" s="4" t="s">
        <v>36</v>
      </c>
      <c r="O38" s="4" t="s">
        <v>53</v>
      </c>
      <c r="P38" s="4"/>
      <c r="Q38" s="4"/>
      <c r="R38" s="4" t="s">
        <v>223</v>
      </c>
      <c r="S38" s="4"/>
      <c r="T38" s="4"/>
      <c r="U38" s="4" t="s">
        <v>56</v>
      </c>
      <c r="V38" s="6"/>
      <c r="W38" s="4" t="s">
        <v>57</v>
      </c>
    </row>
    <row r="39" customFormat="false" ht="15" hidden="false" customHeight="false" outlineLevel="0" collapsed="false">
      <c r="A39" s="4" t="s">
        <v>224</v>
      </c>
      <c r="B39" s="4" t="s">
        <v>225</v>
      </c>
      <c r="C39" s="4" t="s">
        <v>117</v>
      </c>
      <c r="D39" s="4" t="s">
        <v>226</v>
      </c>
      <c r="E39" s="4"/>
      <c r="F39" s="4" t="s">
        <v>34</v>
      </c>
      <c r="G39" s="4"/>
      <c r="H39" s="4" t="s">
        <v>35</v>
      </c>
      <c r="I39" s="4"/>
      <c r="J39" s="5"/>
      <c r="K39" s="5"/>
      <c r="L39" s="4"/>
      <c r="M39" s="4" t="s">
        <v>60</v>
      </c>
      <c r="N39" s="4" t="s">
        <v>36</v>
      </c>
      <c r="O39" s="4" t="s">
        <v>53</v>
      </c>
      <c r="P39" s="4"/>
      <c r="Q39" s="4"/>
      <c r="R39" s="4" t="s">
        <v>227</v>
      </c>
      <c r="S39" s="4"/>
      <c r="T39" s="4"/>
      <c r="U39" s="4" t="s">
        <v>56</v>
      </c>
      <c r="V39" s="6"/>
      <c r="W39" s="4" t="s">
        <v>57</v>
      </c>
    </row>
    <row r="40" customFormat="false" ht="15" hidden="false" customHeight="false" outlineLevel="0" collapsed="false">
      <c r="A40" s="4" t="s">
        <v>228</v>
      </c>
      <c r="B40" s="4" t="s">
        <v>229</v>
      </c>
      <c r="C40" s="4" t="s">
        <v>117</v>
      </c>
      <c r="D40" s="4" t="s">
        <v>230</v>
      </c>
      <c r="E40" s="4"/>
      <c r="F40" s="4" t="s">
        <v>34</v>
      </c>
      <c r="G40" s="4"/>
      <c r="H40" s="4" t="s">
        <v>35</v>
      </c>
      <c r="I40" s="4"/>
      <c r="J40" s="5"/>
      <c r="K40" s="5"/>
      <c r="L40" s="4"/>
      <c r="M40" s="4" t="s">
        <v>36</v>
      </c>
      <c r="N40" s="4" t="s">
        <v>36</v>
      </c>
      <c r="O40" s="4" t="s">
        <v>53</v>
      </c>
      <c r="P40" s="4"/>
      <c r="Q40" s="4" t="s">
        <v>231</v>
      </c>
      <c r="R40" s="4" t="s">
        <v>232</v>
      </c>
      <c r="S40" s="4"/>
      <c r="T40" s="4"/>
      <c r="U40" s="4" t="s">
        <v>56</v>
      </c>
      <c r="V40" s="6"/>
      <c r="W40" s="4" t="s">
        <v>57</v>
      </c>
    </row>
    <row r="41" customFormat="false" ht="15" hidden="false" customHeight="false" outlineLevel="0" collapsed="false">
      <c r="A41" s="4" t="s">
        <v>233</v>
      </c>
      <c r="B41" s="4" t="s">
        <v>234</v>
      </c>
      <c r="C41" s="4" t="s">
        <v>117</v>
      </c>
      <c r="D41" s="4" t="s">
        <v>235</v>
      </c>
      <c r="E41" s="4"/>
      <c r="F41" s="4" t="s">
        <v>34</v>
      </c>
      <c r="G41" s="4"/>
      <c r="H41" s="4" t="s">
        <v>35</v>
      </c>
      <c r="I41" s="4"/>
      <c r="J41" s="5"/>
      <c r="K41" s="5"/>
      <c r="L41" s="4"/>
      <c r="M41" s="4" t="s">
        <v>60</v>
      </c>
      <c r="N41" s="4" t="s">
        <v>36</v>
      </c>
      <c r="O41" s="4" t="s">
        <v>53</v>
      </c>
      <c r="P41" s="4"/>
      <c r="Q41" s="4"/>
      <c r="R41" s="4" t="s">
        <v>236</v>
      </c>
      <c r="S41" s="4"/>
      <c r="T41" s="4"/>
      <c r="U41" s="4" t="s">
        <v>56</v>
      </c>
      <c r="V41" s="6"/>
      <c r="W41" s="4" t="s">
        <v>57</v>
      </c>
    </row>
    <row r="42" customFormat="false" ht="15" hidden="false" customHeight="false" outlineLevel="0" collapsed="false">
      <c r="A42" s="4" t="s">
        <v>237</v>
      </c>
      <c r="B42" s="4" t="s">
        <v>238</v>
      </c>
      <c r="C42" s="4" t="s">
        <v>117</v>
      </c>
      <c r="D42" s="4" t="s">
        <v>239</v>
      </c>
      <c r="E42" s="4"/>
      <c r="F42" s="4" t="s">
        <v>34</v>
      </c>
      <c r="G42" s="4"/>
      <c r="H42" s="4" t="s">
        <v>35</v>
      </c>
      <c r="I42" s="4"/>
      <c r="J42" s="5"/>
      <c r="K42" s="5"/>
      <c r="L42" s="4"/>
      <c r="M42" s="4" t="s">
        <v>60</v>
      </c>
      <c r="N42" s="4" t="s">
        <v>36</v>
      </c>
      <c r="O42" s="4" t="s">
        <v>53</v>
      </c>
      <c r="P42" s="4"/>
      <c r="Q42" s="4" t="s">
        <v>240</v>
      </c>
      <c r="R42" s="4" t="s">
        <v>241</v>
      </c>
      <c r="S42" s="4"/>
      <c r="T42" s="4"/>
      <c r="U42" s="4" t="s">
        <v>56</v>
      </c>
      <c r="V42" s="6"/>
      <c r="W42" s="4" t="s">
        <v>57</v>
      </c>
    </row>
    <row r="43" customFormat="false" ht="15" hidden="false" customHeight="false" outlineLevel="0" collapsed="false">
      <c r="A43" s="4" t="s">
        <v>242</v>
      </c>
      <c r="B43" s="4" t="s">
        <v>243</v>
      </c>
      <c r="C43" s="4" t="s">
        <v>117</v>
      </c>
      <c r="D43" s="4" t="s">
        <v>244</v>
      </c>
      <c r="E43" s="4"/>
      <c r="F43" s="4" t="s">
        <v>34</v>
      </c>
      <c r="G43" s="4"/>
      <c r="H43" s="4" t="s">
        <v>35</v>
      </c>
      <c r="I43" s="4"/>
      <c r="J43" s="5"/>
      <c r="K43" s="5"/>
      <c r="L43" s="4"/>
      <c r="M43" s="4" t="s">
        <v>60</v>
      </c>
      <c r="N43" s="4" t="s">
        <v>36</v>
      </c>
      <c r="O43" s="4" t="s">
        <v>53</v>
      </c>
      <c r="P43" s="4"/>
      <c r="Q43" s="4"/>
      <c r="R43" s="4" t="s">
        <v>245</v>
      </c>
      <c r="S43" s="4"/>
      <c r="T43" s="4"/>
      <c r="U43" s="4" t="s">
        <v>56</v>
      </c>
      <c r="V43" s="6"/>
      <c r="W43" s="4" t="s">
        <v>57</v>
      </c>
    </row>
    <row r="44" customFormat="false" ht="15" hidden="false" customHeight="false" outlineLevel="0" collapsed="false">
      <c r="A44" s="4" t="s">
        <v>246</v>
      </c>
      <c r="B44" s="4" t="s">
        <v>247</v>
      </c>
      <c r="C44" s="4" t="s">
        <v>117</v>
      </c>
      <c r="D44" s="4" t="s">
        <v>248</v>
      </c>
      <c r="E44" s="4"/>
      <c r="F44" s="4" t="s">
        <v>34</v>
      </c>
      <c r="G44" s="4"/>
      <c r="H44" s="4" t="s">
        <v>35</v>
      </c>
      <c r="I44" s="4"/>
      <c r="J44" s="5"/>
      <c r="K44" s="5"/>
      <c r="L44" s="4"/>
      <c r="M44" s="4" t="s">
        <v>60</v>
      </c>
      <c r="N44" s="4" t="s">
        <v>36</v>
      </c>
      <c r="O44" s="4" t="s">
        <v>53</v>
      </c>
      <c r="P44" s="4"/>
      <c r="Q44" s="4"/>
      <c r="R44" s="4" t="s">
        <v>249</v>
      </c>
      <c r="S44" s="4"/>
      <c r="T44" s="4"/>
      <c r="U44" s="4" t="s">
        <v>56</v>
      </c>
      <c r="V44" s="6"/>
      <c r="W44" s="4" t="s">
        <v>57</v>
      </c>
    </row>
    <row r="45" customFormat="false" ht="15" hidden="false" customHeight="false" outlineLevel="0" collapsed="false">
      <c r="A45" s="4" t="s">
        <v>250</v>
      </c>
      <c r="B45" s="4" t="s">
        <v>251</v>
      </c>
      <c r="C45" s="4" t="s">
        <v>117</v>
      </c>
      <c r="D45" s="4" t="s">
        <v>252</v>
      </c>
      <c r="E45" s="4"/>
      <c r="F45" s="4" t="s">
        <v>34</v>
      </c>
      <c r="G45" s="4"/>
      <c r="H45" s="4" t="s">
        <v>35</v>
      </c>
      <c r="I45" s="4"/>
      <c r="J45" s="5"/>
      <c r="K45" s="5"/>
      <c r="L45" s="4"/>
      <c r="M45" s="4" t="s">
        <v>60</v>
      </c>
      <c r="N45" s="4" t="s">
        <v>36</v>
      </c>
      <c r="O45" s="4" t="s">
        <v>53</v>
      </c>
      <c r="P45" s="4"/>
      <c r="Q45" s="4"/>
      <c r="R45" s="4" t="s">
        <v>253</v>
      </c>
      <c r="S45" s="4"/>
      <c r="T45" s="4"/>
      <c r="U45" s="4" t="s">
        <v>56</v>
      </c>
      <c r="V45" s="6"/>
      <c r="W45" s="4" t="s">
        <v>57</v>
      </c>
    </row>
    <row r="46" customFormat="false" ht="15" hidden="false" customHeight="false" outlineLevel="0" collapsed="false">
      <c r="A46" s="4" t="s">
        <v>254</v>
      </c>
      <c r="B46" s="4" t="s">
        <v>255</v>
      </c>
      <c r="C46" s="4" t="s">
        <v>117</v>
      </c>
      <c r="D46" s="4" t="s">
        <v>256</v>
      </c>
      <c r="E46" s="4"/>
      <c r="F46" s="4" t="s">
        <v>34</v>
      </c>
      <c r="G46" s="4"/>
      <c r="H46" s="4" t="s">
        <v>35</v>
      </c>
      <c r="I46" s="4"/>
      <c r="J46" s="5"/>
      <c r="K46" s="5"/>
      <c r="L46" s="4"/>
      <c r="M46" s="4" t="s">
        <v>60</v>
      </c>
      <c r="N46" s="4" t="s">
        <v>36</v>
      </c>
      <c r="O46" s="4" t="s">
        <v>53</v>
      </c>
      <c r="P46" s="4"/>
      <c r="Q46" s="4"/>
      <c r="R46" s="4" t="s">
        <v>257</v>
      </c>
      <c r="S46" s="4"/>
      <c r="T46" s="4"/>
      <c r="U46" s="4" t="s">
        <v>56</v>
      </c>
      <c r="V46" s="6"/>
      <c r="W46" s="4" t="s">
        <v>57</v>
      </c>
    </row>
    <row r="47" customFormat="false" ht="15" hidden="false" customHeight="false" outlineLevel="0" collapsed="false">
      <c r="A47" s="4" t="s">
        <v>258</v>
      </c>
      <c r="B47" s="4" t="s">
        <v>259</v>
      </c>
      <c r="C47" s="4" t="s">
        <v>111</v>
      </c>
      <c r="D47" s="4" t="s">
        <v>260</v>
      </c>
      <c r="E47" s="4"/>
      <c r="F47" s="4" t="s">
        <v>261</v>
      </c>
      <c r="G47" s="4"/>
      <c r="H47" s="4" t="s">
        <v>35</v>
      </c>
      <c r="I47" s="4"/>
      <c r="J47" s="5"/>
      <c r="K47" s="5"/>
      <c r="L47" s="4"/>
      <c r="M47" s="4" t="s">
        <v>36</v>
      </c>
      <c r="N47" s="4" t="s">
        <v>36</v>
      </c>
      <c r="O47" s="4" t="s">
        <v>53</v>
      </c>
      <c r="P47" s="4"/>
      <c r="Q47" s="4" t="s">
        <v>262</v>
      </c>
      <c r="R47" s="4" t="s">
        <v>263</v>
      </c>
      <c r="S47" s="4"/>
      <c r="T47" s="4"/>
      <c r="U47" s="4" t="s">
        <v>56</v>
      </c>
      <c r="V47" s="6"/>
      <c r="W47" s="4" t="s">
        <v>57</v>
      </c>
    </row>
    <row r="48" customFormat="false" ht="15" hidden="false" customHeight="false" outlineLevel="0" collapsed="false">
      <c r="A48" s="4" t="s">
        <v>264</v>
      </c>
      <c r="B48" s="4" t="s">
        <v>265</v>
      </c>
      <c r="C48" s="4" t="s">
        <v>111</v>
      </c>
      <c r="D48" s="4" t="s">
        <v>266</v>
      </c>
      <c r="E48" s="4"/>
      <c r="F48" s="4" t="s">
        <v>261</v>
      </c>
      <c r="G48" s="4"/>
      <c r="H48" s="4" t="s">
        <v>35</v>
      </c>
      <c r="I48" s="4"/>
      <c r="J48" s="5"/>
      <c r="K48" s="5"/>
      <c r="L48" s="4"/>
      <c r="M48" s="4" t="s">
        <v>36</v>
      </c>
      <c r="N48" s="4" t="s">
        <v>36</v>
      </c>
      <c r="O48" s="4" t="s">
        <v>53</v>
      </c>
      <c r="P48" s="4"/>
      <c r="Q48" s="4" t="s">
        <v>267</v>
      </c>
      <c r="R48" s="4" t="s">
        <v>268</v>
      </c>
      <c r="S48" s="4"/>
      <c r="T48" s="4"/>
      <c r="U48" s="4" t="s">
        <v>56</v>
      </c>
      <c r="V48" s="6"/>
      <c r="W48" s="4" t="s">
        <v>57</v>
      </c>
    </row>
    <row r="49" customFormat="false" ht="15" hidden="false" customHeight="false" outlineLevel="0" collapsed="false">
      <c r="A49" s="4" t="s">
        <v>269</v>
      </c>
      <c r="B49" s="4" t="s">
        <v>270</v>
      </c>
      <c r="C49" s="4" t="s">
        <v>117</v>
      </c>
      <c r="D49" s="4" t="s">
        <v>271</v>
      </c>
      <c r="E49" s="4"/>
      <c r="F49" s="4" t="s">
        <v>261</v>
      </c>
      <c r="G49" s="4"/>
      <c r="H49" s="4" t="s">
        <v>35</v>
      </c>
      <c r="I49" s="4"/>
      <c r="J49" s="5"/>
      <c r="K49" s="5"/>
      <c r="L49" s="4"/>
      <c r="M49" s="4" t="s">
        <v>36</v>
      </c>
      <c r="N49" s="4" t="s">
        <v>36</v>
      </c>
      <c r="O49" s="4" t="s">
        <v>53</v>
      </c>
      <c r="P49" s="4"/>
      <c r="Q49" s="4"/>
      <c r="R49" s="4" t="s">
        <v>272</v>
      </c>
      <c r="S49" s="4"/>
      <c r="T49" s="4"/>
      <c r="U49" s="4" t="s">
        <v>56</v>
      </c>
      <c r="V49" s="6"/>
      <c r="W49" s="4" t="s">
        <v>57</v>
      </c>
    </row>
    <row r="50" customFormat="false" ht="15" hidden="false" customHeight="false" outlineLevel="0" collapsed="false">
      <c r="A50" s="4" t="s">
        <v>273</v>
      </c>
      <c r="B50" s="4" t="s">
        <v>274</v>
      </c>
      <c r="C50" s="4" t="s">
        <v>111</v>
      </c>
      <c r="D50" s="4" t="s">
        <v>275</v>
      </c>
      <c r="E50" s="4"/>
      <c r="F50" s="4" t="s">
        <v>261</v>
      </c>
      <c r="G50" s="4"/>
      <c r="H50" s="4" t="s">
        <v>35</v>
      </c>
      <c r="I50" s="4"/>
      <c r="J50" s="5"/>
      <c r="K50" s="5"/>
      <c r="L50" s="4"/>
      <c r="M50" s="4" t="s">
        <v>36</v>
      </c>
      <c r="N50" s="4" t="s">
        <v>36</v>
      </c>
      <c r="O50" s="4" t="s">
        <v>53</v>
      </c>
      <c r="P50" s="4"/>
      <c r="Q50" s="4" t="s">
        <v>276</v>
      </c>
      <c r="R50" s="4" t="s">
        <v>277</v>
      </c>
      <c r="S50" s="4"/>
      <c r="T50" s="4"/>
      <c r="U50" s="4" t="s">
        <v>56</v>
      </c>
      <c r="V50" s="6"/>
      <c r="W50" s="4" t="s">
        <v>57</v>
      </c>
    </row>
    <row r="51" customFormat="false" ht="15" hidden="false" customHeight="false" outlineLevel="0" collapsed="false">
      <c r="A51" s="4" t="s">
        <v>278</v>
      </c>
      <c r="B51" s="4" t="s">
        <v>279</v>
      </c>
      <c r="C51" s="4" t="s">
        <v>117</v>
      </c>
      <c r="D51" s="4" t="s">
        <v>280</v>
      </c>
      <c r="E51" s="4"/>
      <c r="F51" s="4" t="s">
        <v>261</v>
      </c>
      <c r="G51" s="4"/>
      <c r="H51" s="4" t="s">
        <v>35</v>
      </c>
      <c r="I51" s="4"/>
      <c r="J51" s="5"/>
      <c r="K51" s="5"/>
      <c r="L51" s="4"/>
      <c r="M51" s="4" t="s">
        <v>60</v>
      </c>
      <c r="N51" s="4" t="s">
        <v>36</v>
      </c>
      <c r="O51" s="4" t="s">
        <v>53</v>
      </c>
      <c r="P51" s="4"/>
      <c r="Q51" s="4"/>
      <c r="R51" s="4" t="s">
        <v>281</v>
      </c>
      <c r="S51" s="4"/>
      <c r="T51" s="4"/>
      <c r="U51" s="4" t="s">
        <v>56</v>
      </c>
      <c r="V51" s="6"/>
      <c r="W51" s="4" t="s">
        <v>57</v>
      </c>
    </row>
    <row r="52" customFormat="false" ht="15" hidden="false" customHeight="false" outlineLevel="0" collapsed="false">
      <c r="A52" s="4" t="s">
        <v>282</v>
      </c>
      <c r="B52" s="4" t="s">
        <v>283</v>
      </c>
      <c r="C52" s="4" t="s">
        <v>117</v>
      </c>
      <c r="D52" s="4" t="s">
        <v>284</v>
      </c>
      <c r="E52" s="4"/>
      <c r="F52" s="4" t="s">
        <v>261</v>
      </c>
      <c r="G52" s="4"/>
      <c r="H52" s="4" t="s">
        <v>35</v>
      </c>
      <c r="I52" s="4"/>
      <c r="J52" s="5"/>
      <c r="K52" s="5"/>
      <c r="L52" s="4"/>
      <c r="M52" s="4" t="s">
        <v>60</v>
      </c>
      <c r="N52" s="4" t="s">
        <v>36</v>
      </c>
      <c r="O52" s="4" t="s">
        <v>53</v>
      </c>
      <c r="P52" s="4"/>
      <c r="Q52" s="4"/>
      <c r="R52" s="4" t="s">
        <v>285</v>
      </c>
      <c r="S52" s="4"/>
      <c r="T52" s="4"/>
      <c r="U52" s="4" t="s">
        <v>56</v>
      </c>
      <c r="V52" s="6"/>
      <c r="W52" s="4" t="s">
        <v>57</v>
      </c>
    </row>
    <row r="53" customFormat="false" ht="15" hidden="false" customHeight="false" outlineLevel="0" collapsed="false">
      <c r="A53" s="4" t="s">
        <v>286</v>
      </c>
      <c r="B53" s="4" t="s">
        <v>287</v>
      </c>
      <c r="C53" s="4" t="s">
        <v>117</v>
      </c>
      <c r="D53" s="4" t="s">
        <v>288</v>
      </c>
      <c r="E53" s="4"/>
      <c r="F53" s="4" t="s">
        <v>261</v>
      </c>
      <c r="G53" s="4"/>
      <c r="H53" s="4" t="s">
        <v>35</v>
      </c>
      <c r="I53" s="4"/>
      <c r="J53" s="5"/>
      <c r="K53" s="5"/>
      <c r="L53" s="4"/>
      <c r="M53" s="4" t="s">
        <v>60</v>
      </c>
      <c r="N53" s="4" t="s">
        <v>36</v>
      </c>
      <c r="O53" s="4" t="s">
        <v>53</v>
      </c>
      <c r="P53" s="4"/>
      <c r="Q53" s="4"/>
      <c r="R53" s="4" t="s">
        <v>289</v>
      </c>
      <c r="S53" s="4"/>
      <c r="T53" s="4"/>
      <c r="U53" s="4" t="s">
        <v>56</v>
      </c>
      <c r="V53" s="6"/>
      <c r="W53" s="4" t="s">
        <v>57</v>
      </c>
    </row>
    <row r="54" customFormat="false" ht="15" hidden="false" customHeight="false" outlineLevel="0" collapsed="false">
      <c r="A54" s="4" t="s">
        <v>290</v>
      </c>
      <c r="B54" s="4" t="s">
        <v>291</v>
      </c>
      <c r="C54" s="4" t="s">
        <v>117</v>
      </c>
      <c r="D54" s="4" t="s">
        <v>292</v>
      </c>
      <c r="E54" s="4"/>
      <c r="F54" s="4" t="s">
        <v>261</v>
      </c>
      <c r="G54" s="4"/>
      <c r="H54" s="4" t="s">
        <v>35</v>
      </c>
      <c r="I54" s="4"/>
      <c r="J54" s="5"/>
      <c r="K54" s="5"/>
      <c r="L54" s="4"/>
      <c r="M54" s="4" t="s">
        <v>60</v>
      </c>
      <c r="N54" s="4" t="s">
        <v>36</v>
      </c>
      <c r="O54" s="4" t="s">
        <v>53</v>
      </c>
      <c r="P54" s="4"/>
      <c r="Q54" s="4"/>
      <c r="R54" s="4" t="s">
        <v>293</v>
      </c>
      <c r="S54" s="4"/>
      <c r="T54" s="4"/>
      <c r="U54" s="4" t="s">
        <v>56</v>
      </c>
      <c r="V54" s="6"/>
      <c r="W54" s="4" t="s">
        <v>57</v>
      </c>
    </row>
    <row r="55" customFormat="false" ht="15" hidden="false" customHeight="false" outlineLevel="0" collapsed="false">
      <c r="A55" s="4" t="s">
        <v>294</v>
      </c>
      <c r="B55" s="4" t="s">
        <v>295</v>
      </c>
      <c r="C55" s="4" t="s">
        <v>117</v>
      </c>
      <c r="D55" s="4" t="s">
        <v>296</v>
      </c>
      <c r="E55" s="4"/>
      <c r="F55" s="4" t="s">
        <v>261</v>
      </c>
      <c r="G55" s="4"/>
      <c r="H55" s="4" t="s">
        <v>35</v>
      </c>
      <c r="I55" s="4"/>
      <c r="J55" s="5"/>
      <c r="K55" s="5"/>
      <c r="L55" s="4"/>
      <c r="M55" s="4" t="s">
        <v>60</v>
      </c>
      <c r="N55" s="4" t="s">
        <v>36</v>
      </c>
      <c r="O55" s="4" t="s">
        <v>53</v>
      </c>
      <c r="P55" s="4"/>
      <c r="Q55" s="4"/>
      <c r="R55" s="4" t="s">
        <v>297</v>
      </c>
      <c r="S55" s="4"/>
      <c r="T55" s="4"/>
      <c r="U55" s="4" t="s">
        <v>56</v>
      </c>
      <c r="V55" s="6"/>
      <c r="W55" s="4" t="s">
        <v>57</v>
      </c>
    </row>
    <row r="56" customFormat="false" ht="15" hidden="false" customHeight="false" outlineLevel="0" collapsed="false">
      <c r="A56" s="4" t="s">
        <v>298</v>
      </c>
      <c r="B56" s="4" t="s">
        <v>299</v>
      </c>
      <c r="C56" s="4" t="s">
        <v>117</v>
      </c>
      <c r="D56" s="4" t="s">
        <v>300</v>
      </c>
      <c r="E56" s="4"/>
      <c r="F56" s="4" t="s">
        <v>261</v>
      </c>
      <c r="G56" s="4"/>
      <c r="H56" s="4" t="s">
        <v>35</v>
      </c>
      <c r="I56" s="4"/>
      <c r="J56" s="5"/>
      <c r="K56" s="5"/>
      <c r="L56" s="4"/>
      <c r="M56" s="4" t="s">
        <v>60</v>
      </c>
      <c r="N56" s="4" t="s">
        <v>36</v>
      </c>
      <c r="O56" s="4" t="s">
        <v>53</v>
      </c>
      <c r="P56" s="4"/>
      <c r="Q56" s="4"/>
      <c r="R56" s="4" t="s">
        <v>301</v>
      </c>
      <c r="S56" s="4"/>
      <c r="T56" s="4"/>
      <c r="U56" s="4" t="s">
        <v>56</v>
      </c>
      <c r="V56" s="6"/>
      <c r="W56" s="4" t="s">
        <v>57</v>
      </c>
    </row>
    <row r="57" customFormat="false" ht="15" hidden="false" customHeight="false" outlineLevel="0" collapsed="false">
      <c r="A57" s="4" t="s">
        <v>302</v>
      </c>
      <c r="B57" s="4" t="s">
        <v>303</v>
      </c>
      <c r="C57" s="4" t="s">
        <v>117</v>
      </c>
      <c r="D57" s="4" t="s">
        <v>304</v>
      </c>
      <c r="E57" s="4"/>
      <c r="F57" s="4" t="s">
        <v>261</v>
      </c>
      <c r="G57" s="4"/>
      <c r="H57" s="4" t="s">
        <v>35</v>
      </c>
      <c r="I57" s="4"/>
      <c r="J57" s="5"/>
      <c r="K57" s="5"/>
      <c r="L57" s="4"/>
      <c r="M57" s="4" t="s">
        <v>60</v>
      </c>
      <c r="N57" s="4" t="s">
        <v>36</v>
      </c>
      <c r="O57" s="4" t="s">
        <v>53</v>
      </c>
      <c r="P57" s="4"/>
      <c r="Q57" s="4"/>
      <c r="R57" s="4" t="s">
        <v>305</v>
      </c>
      <c r="S57" s="4"/>
      <c r="T57" s="4"/>
      <c r="U57" s="4" t="s">
        <v>56</v>
      </c>
      <c r="V57" s="6"/>
      <c r="W57" s="4" t="s">
        <v>57</v>
      </c>
    </row>
    <row r="58" customFormat="false" ht="15" hidden="false" customHeight="false" outlineLevel="0" collapsed="false">
      <c r="A58" s="4" t="s">
        <v>306</v>
      </c>
      <c r="B58" s="4" t="s">
        <v>307</v>
      </c>
      <c r="C58" s="4" t="s">
        <v>117</v>
      </c>
      <c r="D58" s="4" t="s">
        <v>308</v>
      </c>
      <c r="E58" s="4"/>
      <c r="F58" s="4" t="s">
        <v>261</v>
      </c>
      <c r="G58" s="4"/>
      <c r="H58" s="4" t="s">
        <v>35</v>
      </c>
      <c r="I58" s="4"/>
      <c r="J58" s="5"/>
      <c r="K58" s="5"/>
      <c r="L58" s="4"/>
      <c r="M58" s="4" t="s">
        <v>60</v>
      </c>
      <c r="N58" s="4" t="s">
        <v>36</v>
      </c>
      <c r="O58" s="4" t="s">
        <v>53</v>
      </c>
      <c r="P58" s="4"/>
      <c r="Q58" s="4"/>
      <c r="R58" s="4" t="s">
        <v>309</v>
      </c>
      <c r="S58" s="4"/>
      <c r="T58" s="4"/>
      <c r="U58" s="4" t="s">
        <v>56</v>
      </c>
      <c r="V58" s="6"/>
      <c r="W58" s="4" t="s">
        <v>57</v>
      </c>
    </row>
    <row r="59" customFormat="false" ht="15" hidden="false" customHeight="false" outlineLevel="0" collapsed="false">
      <c r="A59" s="4" t="s">
        <v>310</v>
      </c>
      <c r="B59" s="4" t="s">
        <v>311</v>
      </c>
      <c r="C59" s="4" t="s">
        <v>117</v>
      </c>
      <c r="D59" s="4" t="s">
        <v>312</v>
      </c>
      <c r="E59" s="4"/>
      <c r="F59" s="4" t="s">
        <v>261</v>
      </c>
      <c r="G59" s="4"/>
      <c r="H59" s="4" t="s">
        <v>35</v>
      </c>
      <c r="I59" s="4"/>
      <c r="J59" s="5"/>
      <c r="K59" s="5"/>
      <c r="L59" s="4"/>
      <c r="M59" s="4" t="s">
        <v>60</v>
      </c>
      <c r="N59" s="4" t="s">
        <v>36</v>
      </c>
      <c r="O59" s="4" t="s">
        <v>53</v>
      </c>
      <c r="P59" s="4"/>
      <c r="Q59" s="4"/>
      <c r="R59" s="4" t="s">
        <v>313</v>
      </c>
      <c r="S59" s="4"/>
      <c r="T59" s="4"/>
      <c r="U59" s="4" t="s">
        <v>56</v>
      </c>
      <c r="V59" s="6"/>
      <c r="W59" s="4" t="s">
        <v>57</v>
      </c>
    </row>
    <row r="60" customFormat="false" ht="15" hidden="false" customHeight="false" outlineLevel="0" collapsed="false">
      <c r="A60" s="4" t="s">
        <v>314</v>
      </c>
      <c r="B60" s="4" t="s">
        <v>315</v>
      </c>
      <c r="C60" s="4" t="s">
        <v>117</v>
      </c>
      <c r="D60" s="4" t="s">
        <v>316</v>
      </c>
      <c r="E60" s="4"/>
      <c r="F60" s="4" t="s">
        <v>261</v>
      </c>
      <c r="G60" s="4"/>
      <c r="H60" s="4" t="s">
        <v>35</v>
      </c>
      <c r="I60" s="4"/>
      <c r="J60" s="5"/>
      <c r="K60" s="5"/>
      <c r="L60" s="4"/>
      <c r="M60" s="4" t="s">
        <v>60</v>
      </c>
      <c r="N60" s="4" t="s">
        <v>36</v>
      </c>
      <c r="O60" s="4" t="s">
        <v>53</v>
      </c>
      <c r="P60" s="4"/>
      <c r="Q60" s="4"/>
      <c r="R60" s="4" t="s">
        <v>317</v>
      </c>
      <c r="S60" s="4"/>
      <c r="T60" s="4"/>
      <c r="U60" s="4" t="s">
        <v>56</v>
      </c>
      <c r="V60" s="6"/>
      <c r="W60" s="4" t="s">
        <v>57</v>
      </c>
    </row>
    <row r="61" customFormat="false" ht="15" hidden="false" customHeight="false" outlineLevel="0" collapsed="false">
      <c r="A61" s="4" t="s">
        <v>318</v>
      </c>
      <c r="B61" s="4" t="s">
        <v>319</v>
      </c>
      <c r="C61" s="4" t="s">
        <v>320</v>
      </c>
      <c r="D61" s="4" t="s">
        <v>321</v>
      </c>
      <c r="E61" s="4"/>
      <c r="F61" s="4" t="s">
        <v>322</v>
      </c>
      <c r="G61" s="4"/>
      <c r="H61" s="4" t="s">
        <v>35</v>
      </c>
      <c r="I61" s="4"/>
      <c r="J61" s="5"/>
      <c r="K61" s="5"/>
      <c r="L61" s="4"/>
      <c r="M61" s="4" t="s">
        <v>36</v>
      </c>
      <c r="N61" s="4" t="s">
        <v>36</v>
      </c>
      <c r="O61" s="4" t="s">
        <v>53</v>
      </c>
      <c r="P61" s="4"/>
      <c r="Q61" s="4" t="s">
        <v>323</v>
      </c>
      <c r="R61" s="4" t="s">
        <v>324</v>
      </c>
      <c r="S61" s="4"/>
      <c r="T61" s="4"/>
      <c r="U61" s="4" t="s">
        <v>56</v>
      </c>
      <c r="V61" s="6"/>
      <c r="W61" s="4" t="s">
        <v>57</v>
      </c>
    </row>
    <row r="62" customFormat="false" ht="15" hidden="false" customHeight="false" outlineLevel="0" collapsed="false">
      <c r="A62" s="4" t="s">
        <v>325</v>
      </c>
      <c r="B62" s="4" t="s">
        <v>326</v>
      </c>
      <c r="C62" s="4" t="s">
        <v>117</v>
      </c>
      <c r="D62" s="4" t="s">
        <v>327</v>
      </c>
      <c r="E62" s="4"/>
      <c r="F62" s="4" t="s">
        <v>322</v>
      </c>
      <c r="G62" s="4"/>
      <c r="H62" s="4" t="s">
        <v>35</v>
      </c>
      <c r="I62" s="4"/>
      <c r="J62" s="5"/>
      <c r="K62" s="5"/>
      <c r="L62" s="4"/>
      <c r="M62" s="4" t="s">
        <v>60</v>
      </c>
      <c r="N62" s="4" t="s">
        <v>36</v>
      </c>
      <c r="O62" s="4" t="s">
        <v>53</v>
      </c>
      <c r="P62" s="4"/>
      <c r="Q62" s="4"/>
      <c r="R62" s="4" t="s">
        <v>328</v>
      </c>
      <c r="S62" s="4"/>
      <c r="T62" s="4"/>
      <c r="U62" s="4" t="s">
        <v>56</v>
      </c>
      <c r="V62" s="6"/>
      <c r="W62" s="4" t="s">
        <v>57</v>
      </c>
    </row>
    <row r="63" customFormat="false" ht="15" hidden="false" customHeight="false" outlineLevel="0" collapsed="false">
      <c r="A63" s="4" t="s">
        <v>329</v>
      </c>
      <c r="B63" s="4" t="s">
        <v>330</v>
      </c>
      <c r="C63" s="4" t="s">
        <v>117</v>
      </c>
      <c r="D63" s="4" t="s">
        <v>331</v>
      </c>
      <c r="E63" s="4"/>
      <c r="F63" s="4" t="s">
        <v>322</v>
      </c>
      <c r="G63" s="4"/>
      <c r="H63" s="4" t="s">
        <v>35</v>
      </c>
      <c r="I63" s="4"/>
      <c r="J63" s="5"/>
      <c r="K63" s="5"/>
      <c r="L63" s="4"/>
      <c r="M63" s="4" t="s">
        <v>60</v>
      </c>
      <c r="N63" s="4" t="s">
        <v>36</v>
      </c>
      <c r="O63" s="4" t="s">
        <v>53</v>
      </c>
      <c r="P63" s="4"/>
      <c r="Q63" s="4"/>
      <c r="R63" s="4" t="s">
        <v>332</v>
      </c>
      <c r="S63" s="4"/>
      <c r="T63" s="4"/>
      <c r="U63" s="4" t="s">
        <v>56</v>
      </c>
      <c r="V63" s="6"/>
      <c r="W63" s="4" t="s">
        <v>57</v>
      </c>
    </row>
    <row r="64" customFormat="false" ht="15" hidden="false" customHeight="false" outlineLevel="0" collapsed="false">
      <c r="A64" s="4" t="s">
        <v>333</v>
      </c>
      <c r="B64" s="4" t="s">
        <v>334</v>
      </c>
      <c r="C64" s="4" t="s">
        <v>117</v>
      </c>
      <c r="D64" s="4" t="s">
        <v>335</v>
      </c>
      <c r="E64" s="4"/>
      <c r="F64" s="4" t="s">
        <v>322</v>
      </c>
      <c r="G64" s="4"/>
      <c r="H64" s="4" t="s">
        <v>35</v>
      </c>
      <c r="I64" s="4"/>
      <c r="J64" s="5"/>
      <c r="K64" s="5"/>
      <c r="L64" s="4"/>
      <c r="M64" s="4" t="s">
        <v>60</v>
      </c>
      <c r="N64" s="4" t="s">
        <v>36</v>
      </c>
      <c r="O64" s="4" t="s">
        <v>53</v>
      </c>
      <c r="P64" s="4"/>
      <c r="Q64" s="4"/>
      <c r="R64" s="4" t="s">
        <v>336</v>
      </c>
      <c r="S64" s="4"/>
      <c r="T64" s="4"/>
      <c r="U64" s="4" t="s">
        <v>56</v>
      </c>
      <c r="V64" s="6"/>
      <c r="W64" s="4" t="s">
        <v>57</v>
      </c>
    </row>
    <row r="65" customFormat="false" ht="15" hidden="false" customHeight="false" outlineLevel="0" collapsed="false">
      <c r="A65" s="4" t="s">
        <v>337</v>
      </c>
      <c r="B65" s="4" t="s">
        <v>338</v>
      </c>
      <c r="C65" s="4" t="s">
        <v>117</v>
      </c>
      <c r="D65" s="4" t="s">
        <v>339</v>
      </c>
      <c r="E65" s="4"/>
      <c r="F65" s="4" t="s">
        <v>322</v>
      </c>
      <c r="G65" s="4"/>
      <c r="H65" s="4" t="s">
        <v>35</v>
      </c>
      <c r="I65" s="4"/>
      <c r="J65" s="5"/>
      <c r="K65" s="5"/>
      <c r="L65" s="4"/>
      <c r="M65" s="4" t="s">
        <v>60</v>
      </c>
      <c r="N65" s="4" t="s">
        <v>36</v>
      </c>
      <c r="O65" s="4" t="s">
        <v>53</v>
      </c>
      <c r="P65" s="4"/>
      <c r="Q65" s="4"/>
      <c r="R65" s="4" t="s">
        <v>340</v>
      </c>
      <c r="S65" s="4"/>
      <c r="T65" s="4"/>
      <c r="U65" s="4" t="s">
        <v>56</v>
      </c>
      <c r="V65" s="6"/>
      <c r="W65" s="4" t="s">
        <v>57</v>
      </c>
    </row>
    <row r="66" customFormat="false" ht="15" hidden="false" customHeight="false" outlineLevel="0" collapsed="false">
      <c r="A66" s="4" t="s">
        <v>341</v>
      </c>
      <c r="B66" s="4" t="s">
        <v>342</v>
      </c>
      <c r="C66" s="4" t="s">
        <v>117</v>
      </c>
      <c r="D66" s="4" t="s">
        <v>343</v>
      </c>
      <c r="E66" s="4"/>
      <c r="F66" s="4" t="s">
        <v>322</v>
      </c>
      <c r="G66" s="4"/>
      <c r="H66" s="4" t="s">
        <v>35</v>
      </c>
      <c r="I66" s="4"/>
      <c r="J66" s="5"/>
      <c r="K66" s="5"/>
      <c r="L66" s="4"/>
      <c r="M66" s="4" t="s">
        <v>60</v>
      </c>
      <c r="N66" s="4" t="s">
        <v>36</v>
      </c>
      <c r="O66" s="4" t="s">
        <v>53</v>
      </c>
      <c r="P66" s="4"/>
      <c r="Q66" s="4"/>
      <c r="R66" s="4" t="s">
        <v>344</v>
      </c>
      <c r="S66" s="4"/>
      <c r="T66" s="4"/>
      <c r="U66" s="4" t="s">
        <v>56</v>
      </c>
      <c r="V66" s="6"/>
      <c r="W66" s="4" t="s">
        <v>57</v>
      </c>
    </row>
    <row r="67" customFormat="false" ht="15" hidden="false" customHeight="false" outlineLevel="0" collapsed="false">
      <c r="A67" s="4" t="s">
        <v>345</v>
      </c>
      <c r="B67" s="4" t="s">
        <v>346</v>
      </c>
      <c r="C67" s="4" t="s">
        <v>117</v>
      </c>
      <c r="D67" s="4" t="s">
        <v>347</v>
      </c>
      <c r="E67" s="4"/>
      <c r="F67" s="4" t="s">
        <v>322</v>
      </c>
      <c r="G67" s="4"/>
      <c r="H67" s="4" t="s">
        <v>35</v>
      </c>
      <c r="I67" s="4"/>
      <c r="J67" s="5"/>
      <c r="K67" s="5"/>
      <c r="L67" s="4"/>
      <c r="M67" s="4" t="s">
        <v>60</v>
      </c>
      <c r="N67" s="4" t="s">
        <v>36</v>
      </c>
      <c r="O67" s="4" t="s">
        <v>53</v>
      </c>
      <c r="P67" s="4"/>
      <c r="Q67" s="4"/>
      <c r="R67" s="4" t="s">
        <v>348</v>
      </c>
      <c r="S67" s="4"/>
      <c r="T67" s="4"/>
      <c r="U67" s="4" t="s">
        <v>56</v>
      </c>
      <c r="V67" s="6"/>
      <c r="W67" s="4" t="s">
        <v>57</v>
      </c>
    </row>
    <row r="68" customFormat="false" ht="15" hidden="false" customHeight="false" outlineLevel="0" collapsed="false">
      <c r="A68" s="4" t="s">
        <v>349</v>
      </c>
      <c r="B68" s="4" t="s">
        <v>350</v>
      </c>
      <c r="C68" s="4" t="s">
        <v>117</v>
      </c>
      <c r="D68" s="4" t="s">
        <v>351</v>
      </c>
      <c r="E68" s="4"/>
      <c r="F68" s="4" t="s">
        <v>322</v>
      </c>
      <c r="G68" s="4"/>
      <c r="H68" s="4" t="s">
        <v>35</v>
      </c>
      <c r="I68" s="4"/>
      <c r="J68" s="5"/>
      <c r="K68" s="5"/>
      <c r="L68" s="4"/>
      <c r="M68" s="4" t="s">
        <v>60</v>
      </c>
      <c r="N68" s="4" t="s">
        <v>36</v>
      </c>
      <c r="O68" s="4" t="s">
        <v>53</v>
      </c>
      <c r="P68" s="4"/>
      <c r="Q68" s="4"/>
      <c r="R68" s="4" t="s">
        <v>352</v>
      </c>
      <c r="S68" s="4"/>
      <c r="T68" s="4"/>
      <c r="U68" s="4" t="s">
        <v>56</v>
      </c>
      <c r="V68" s="6"/>
      <c r="W68" s="4" t="s">
        <v>57</v>
      </c>
    </row>
    <row r="69" customFormat="false" ht="15" hidden="false" customHeight="false" outlineLevel="0" collapsed="false">
      <c r="A69" s="4" t="s">
        <v>353</v>
      </c>
      <c r="B69" s="4" t="s">
        <v>354</v>
      </c>
      <c r="C69" s="4" t="s">
        <v>320</v>
      </c>
      <c r="D69" s="4" t="s">
        <v>355</v>
      </c>
      <c r="E69" s="4"/>
      <c r="F69" s="4" t="s">
        <v>356</v>
      </c>
      <c r="G69" s="4"/>
      <c r="H69" s="4" t="s">
        <v>35</v>
      </c>
      <c r="I69" s="4"/>
      <c r="J69" s="5"/>
      <c r="K69" s="5"/>
      <c r="L69" s="4"/>
      <c r="M69" s="4" t="s">
        <v>36</v>
      </c>
      <c r="N69" s="4" t="s">
        <v>36</v>
      </c>
      <c r="O69" s="4" t="s">
        <v>53</v>
      </c>
      <c r="P69" s="4"/>
      <c r="Q69" s="4" t="s">
        <v>357</v>
      </c>
      <c r="R69" s="4" t="s">
        <v>358</v>
      </c>
      <c r="S69" s="4"/>
      <c r="T69" s="4"/>
      <c r="U69" s="4" t="s">
        <v>56</v>
      </c>
      <c r="V69" s="6"/>
      <c r="W69" s="4" t="s">
        <v>57</v>
      </c>
    </row>
    <row r="70" customFormat="false" ht="15" hidden="false" customHeight="false" outlineLevel="0" collapsed="false">
      <c r="A70" s="4" t="s">
        <v>359</v>
      </c>
      <c r="B70" s="4" t="s">
        <v>360</v>
      </c>
      <c r="C70" s="4" t="s">
        <v>117</v>
      </c>
      <c r="D70" s="4" t="s">
        <v>355</v>
      </c>
      <c r="E70" s="4"/>
      <c r="F70" s="4" t="s">
        <v>356</v>
      </c>
      <c r="G70" s="4"/>
      <c r="H70" s="4" t="s">
        <v>35</v>
      </c>
      <c r="I70" s="4"/>
      <c r="J70" s="5"/>
      <c r="K70" s="5"/>
      <c r="L70" s="4"/>
      <c r="M70" s="4" t="s">
        <v>36</v>
      </c>
      <c r="N70" s="4" t="s">
        <v>36</v>
      </c>
      <c r="O70" s="4" t="s">
        <v>53</v>
      </c>
      <c r="P70" s="4"/>
      <c r="Q70" s="4" t="s">
        <v>361</v>
      </c>
      <c r="R70" s="4" t="s">
        <v>362</v>
      </c>
      <c r="S70" s="4"/>
      <c r="T70" s="4"/>
      <c r="U70" s="4" t="s">
        <v>56</v>
      </c>
      <c r="V70" s="6"/>
      <c r="W70" s="4" t="s">
        <v>57</v>
      </c>
    </row>
    <row r="71" customFormat="false" ht="15" hidden="false" customHeight="false" outlineLevel="0" collapsed="false">
      <c r="A71" s="4" t="s">
        <v>363</v>
      </c>
      <c r="B71" s="4" t="s">
        <v>364</v>
      </c>
      <c r="C71" s="4" t="s">
        <v>32</v>
      </c>
      <c r="D71" s="4" t="s">
        <v>355</v>
      </c>
      <c r="E71" s="4"/>
      <c r="F71" s="4" t="s">
        <v>356</v>
      </c>
      <c r="G71" s="4"/>
      <c r="H71" s="4" t="s">
        <v>35</v>
      </c>
      <c r="I71" s="4"/>
      <c r="J71" s="5"/>
      <c r="K71" s="5"/>
      <c r="L71" s="4"/>
      <c r="M71" s="4" t="s">
        <v>60</v>
      </c>
      <c r="N71" s="4" t="s">
        <v>36</v>
      </c>
      <c r="O71" s="4" t="s">
        <v>53</v>
      </c>
      <c r="P71" s="4"/>
      <c r="Q71" s="4" t="s">
        <v>365</v>
      </c>
      <c r="R71" s="4" t="s">
        <v>366</v>
      </c>
      <c r="S71" s="4"/>
      <c r="T71" s="4"/>
      <c r="U71" s="4" t="s">
        <v>56</v>
      </c>
      <c r="V71" s="6"/>
      <c r="W71" s="4" t="s">
        <v>57</v>
      </c>
    </row>
    <row r="72" customFormat="false" ht="15" hidden="false" customHeight="false" outlineLevel="0" collapsed="false">
      <c r="A72" s="4" t="s">
        <v>367</v>
      </c>
      <c r="B72" s="4" t="s">
        <v>368</v>
      </c>
      <c r="C72" s="4" t="s">
        <v>117</v>
      </c>
      <c r="D72" s="4" t="s">
        <v>369</v>
      </c>
      <c r="E72" s="4"/>
      <c r="F72" s="4" t="s">
        <v>356</v>
      </c>
      <c r="G72" s="4"/>
      <c r="H72" s="4" t="s">
        <v>35</v>
      </c>
      <c r="I72" s="4"/>
      <c r="J72" s="5"/>
      <c r="K72" s="5"/>
      <c r="L72" s="4"/>
      <c r="M72" s="4" t="s">
        <v>60</v>
      </c>
      <c r="N72" s="4" t="s">
        <v>36</v>
      </c>
      <c r="O72" s="4" t="s">
        <v>53</v>
      </c>
      <c r="P72" s="4"/>
      <c r="Q72" s="4"/>
      <c r="R72" s="4" t="s">
        <v>370</v>
      </c>
      <c r="S72" s="4"/>
      <c r="T72" s="4"/>
      <c r="U72" s="4" t="s">
        <v>56</v>
      </c>
      <c r="V72" s="6"/>
      <c r="W72" s="4" t="s">
        <v>57</v>
      </c>
    </row>
    <row r="73" customFormat="false" ht="15" hidden="false" customHeight="false" outlineLevel="0" collapsed="false">
      <c r="A73" s="4" t="s">
        <v>371</v>
      </c>
      <c r="B73" s="4" t="s">
        <v>372</v>
      </c>
      <c r="C73" s="4" t="s">
        <v>117</v>
      </c>
      <c r="D73" s="4" t="s">
        <v>373</v>
      </c>
      <c r="E73" s="4"/>
      <c r="F73" s="4" t="s">
        <v>356</v>
      </c>
      <c r="G73" s="4"/>
      <c r="H73" s="4" t="s">
        <v>35</v>
      </c>
      <c r="I73" s="4"/>
      <c r="J73" s="5"/>
      <c r="K73" s="5"/>
      <c r="L73" s="4"/>
      <c r="M73" s="4" t="s">
        <v>60</v>
      </c>
      <c r="N73" s="4" t="s">
        <v>36</v>
      </c>
      <c r="O73" s="4" t="s">
        <v>53</v>
      </c>
      <c r="P73" s="4"/>
      <c r="Q73" s="4"/>
      <c r="R73" s="4" t="s">
        <v>374</v>
      </c>
      <c r="S73" s="4"/>
      <c r="T73" s="4"/>
      <c r="U73" s="4" t="s">
        <v>56</v>
      </c>
      <c r="V73" s="6"/>
      <c r="W73" s="4" t="s">
        <v>57</v>
      </c>
    </row>
    <row r="74" customFormat="false" ht="15" hidden="false" customHeight="false" outlineLevel="0" collapsed="false">
      <c r="A74" s="4" t="s">
        <v>375</v>
      </c>
      <c r="B74" s="4" t="s">
        <v>376</v>
      </c>
      <c r="C74" s="4" t="s">
        <v>117</v>
      </c>
      <c r="D74" s="4" t="s">
        <v>377</v>
      </c>
      <c r="E74" s="4"/>
      <c r="F74" s="4" t="s">
        <v>356</v>
      </c>
      <c r="G74" s="4"/>
      <c r="H74" s="4" t="s">
        <v>35</v>
      </c>
      <c r="I74" s="4"/>
      <c r="J74" s="5"/>
      <c r="K74" s="5"/>
      <c r="L74" s="4"/>
      <c r="M74" s="4" t="s">
        <v>60</v>
      </c>
      <c r="N74" s="4" t="s">
        <v>36</v>
      </c>
      <c r="O74" s="4" t="s">
        <v>53</v>
      </c>
      <c r="P74" s="4"/>
      <c r="Q74" s="4"/>
      <c r="R74" s="4" t="s">
        <v>378</v>
      </c>
      <c r="S74" s="4"/>
      <c r="T74" s="4"/>
      <c r="U74" s="4" t="s">
        <v>56</v>
      </c>
      <c r="V74" s="6"/>
      <c r="W74" s="4" t="s">
        <v>57</v>
      </c>
    </row>
    <row r="75" customFormat="false" ht="15" hidden="false" customHeight="false" outlineLevel="0" collapsed="false">
      <c r="A75" s="4" t="s">
        <v>379</v>
      </c>
      <c r="B75" s="4" t="s">
        <v>380</v>
      </c>
      <c r="C75" s="4" t="s">
        <v>117</v>
      </c>
      <c r="D75" s="4" t="s">
        <v>381</v>
      </c>
      <c r="E75" s="4"/>
      <c r="F75" s="4" t="s">
        <v>356</v>
      </c>
      <c r="G75" s="4"/>
      <c r="H75" s="4" t="s">
        <v>35</v>
      </c>
      <c r="I75" s="4"/>
      <c r="J75" s="5"/>
      <c r="K75" s="5"/>
      <c r="L75" s="4"/>
      <c r="M75" s="4" t="s">
        <v>60</v>
      </c>
      <c r="N75" s="4" t="s">
        <v>36</v>
      </c>
      <c r="O75" s="4" t="s">
        <v>53</v>
      </c>
      <c r="P75" s="4"/>
      <c r="Q75" s="4"/>
      <c r="R75" s="4" t="s">
        <v>382</v>
      </c>
      <c r="S75" s="4"/>
      <c r="T75" s="4"/>
      <c r="U75" s="4" t="s">
        <v>56</v>
      </c>
      <c r="V75" s="6"/>
      <c r="W75" s="4" t="s">
        <v>57</v>
      </c>
    </row>
    <row r="76" customFormat="false" ht="15" hidden="false" customHeight="false" outlineLevel="0" collapsed="false">
      <c r="A76" s="4" t="s">
        <v>383</v>
      </c>
      <c r="B76" s="4" t="s">
        <v>384</v>
      </c>
      <c r="C76" s="4" t="s">
        <v>117</v>
      </c>
      <c r="D76" s="4" t="s">
        <v>385</v>
      </c>
      <c r="E76" s="4"/>
      <c r="F76" s="4" t="s">
        <v>356</v>
      </c>
      <c r="G76" s="4"/>
      <c r="H76" s="4" t="s">
        <v>35</v>
      </c>
      <c r="I76" s="4"/>
      <c r="J76" s="5"/>
      <c r="K76" s="5"/>
      <c r="L76" s="4"/>
      <c r="M76" s="4" t="s">
        <v>60</v>
      </c>
      <c r="N76" s="4" t="s">
        <v>36</v>
      </c>
      <c r="O76" s="4" t="s">
        <v>53</v>
      </c>
      <c r="P76" s="4"/>
      <c r="Q76" s="4"/>
      <c r="R76" s="4" t="s">
        <v>386</v>
      </c>
      <c r="S76" s="4"/>
      <c r="T76" s="4"/>
      <c r="U76" s="4" t="s">
        <v>56</v>
      </c>
      <c r="V76" s="6"/>
      <c r="W76" s="4" t="s">
        <v>57</v>
      </c>
    </row>
    <row r="77" customFormat="false" ht="15" hidden="false" customHeight="false" outlineLevel="0" collapsed="false">
      <c r="A77" s="4" t="s">
        <v>387</v>
      </c>
      <c r="B77" s="4" t="s">
        <v>388</v>
      </c>
      <c r="C77" s="4" t="s">
        <v>117</v>
      </c>
      <c r="D77" s="4" t="s">
        <v>389</v>
      </c>
      <c r="E77" s="4"/>
      <c r="F77" s="4" t="s">
        <v>356</v>
      </c>
      <c r="G77" s="4"/>
      <c r="H77" s="4" t="s">
        <v>35</v>
      </c>
      <c r="I77" s="4"/>
      <c r="J77" s="5"/>
      <c r="K77" s="5"/>
      <c r="L77" s="4"/>
      <c r="M77" s="4" t="s">
        <v>60</v>
      </c>
      <c r="N77" s="4" t="s">
        <v>36</v>
      </c>
      <c r="O77" s="4" t="s">
        <v>53</v>
      </c>
      <c r="P77" s="4"/>
      <c r="Q77" s="4"/>
      <c r="R77" s="4" t="s">
        <v>390</v>
      </c>
      <c r="S77" s="4"/>
      <c r="T77" s="4"/>
      <c r="U77" s="4" t="s">
        <v>56</v>
      </c>
      <c r="V77" s="6"/>
      <c r="W77" s="4" t="s">
        <v>57</v>
      </c>
    </row>
    <row r="78" customFormat="false" ht="15" hidden="false" customHeight="false" outlineLevel="0" collapsed="false">
      <c r="A78" s="4" t="s">
        <v>391</v>
      </c>
      <c r="B78" s="4" t="s">
        <v>392</v>
      </c>
      <c r="C78" s="4" t="s">
        <v>117</v>
      </c>
      <c r="D78" s="4" t="s">
        <v>393</v>
      </c>
      <c r="E78" s="4"/>
      <c r="F78" s="4" t="s">
        <v>356</v>
      </c>
      <c r="G78" s="4"/>
      <c r="H78" s="4" t="s">
        <v>35</v>
      </c>
      <c r="I78" s="4"/>
      <c r="J78" s="5"/>
      <c r="K78" s="5"/>
      <c r="L78" s="4"/>
      <c r="M78" s="4" t="s">
        <v>60</v>
      </c>
      <c r="N78" s="4" t="s">
        <v>36</v>
      </c>
      <c r="O78" s="4" t="s">
        <v>53</v>
      </c>
      <c r="P78" s="4"/>
      <c r="Q78" s="4"/>
      <c r="R78" s="4" t="s">
        <v>394</v>
      </c>
      <c r="S78" s="4"/>
      <c r="T78" s="4"/>
      <c r="U78" s="4" t="s">
        <v>56</v>
      </c>
      <c r="V78" s="6"/>
      <c r="W78" s="4" t="s">
        <v>57</v>
      </c>
    </row>
    <row r="79" customFormat="false" ht="15" hidden="false" customHeight="false" outlineLevel="0" collapsed="false">
      <c r="A79" s="4" t="s">
        <v>395</v>
      </c>
      <c r="B79" s="4" t="s">
        <v>396</v>
      </c>
      <c r="C79" s="4" t="s">
        <v>117</v>
      </c>
      <c r="D79" s="4" t="s">
        <v>397</v>
      </c>
      <c r="E79" s="4"/>
      <c r="F79" s="4" t="s">
        <v>356</v>
      </c>
      <c r="G79" s="4"/>
      <c r="H79" s="4" t="s">
        <v>35</v>
      </c>
      <c r="I79" s="4"/>
      <c r="J79" s="5"/>
      <c r="K79" s="5"/>
      <c r="L79" s="4"/>
      <c r="M79" s="4" t="s">
        <v>60</v>
      </c>
      <c r="N79" s="4" t="s">
        <v>36</v>
      </c>
      <c r="O79" s="4" t="s">
        <v>53</v>
      </c>
      <c r="P79" s="4"/>
      <c r="Q79" s="4"/>
      <c r="R79" s="4" t="s">
        <v>398</v>
      </c>
      <c r="S79" s="4"/>
      <c r="T79" s="4"/>
      <c r="U79" s="4" t="s">
        <v>56</v>
      </c>
      <c r="V79" s="6"/>
      <c r="W79" s="4" t="s">
        <v>57</v>
      </c>
    </row>
    <row r="80" customFormat="false" ht="15" hidden="false" customHeight="false" outlineLevel="0" collapsed="false">
      <c r="A80" s="4" t="s">
        <v>399</v>
      </c>
      <c r="B80" s="4" t="s">
        <v>400</v>
      </c>
      <c r="C80" s="4" t="s">
        <v>117</v>
      </c>
      <c r="D80" s="4" t="s">
        <v>401</v>
      </c>
      <c r="E80" s="4"/>
      <c r="F80" s="4" t="s">
        <v>356</v>
      </c>
      <c r="G80" s="4"/>
      <c r="H80" s="4" t="s">
        <v>35</v>
      </c>
      <c r="I80" s="4"/>
      <c r="J80" s="5"/>
      <c r="K80" s="5"/>
      <c r="L80" s="4"/>
      <c r="M80" s="4" t="s">
        <v>60</v>
      </c>
      <c r="N80" s="4" t="s">
        <v>36</v>
      </c>
      <c r="O80" s="4" t="s">
        <v>53</v>
      </c>
      <c r="P80" s="4"/>
      <c r="Q80" s="4"/>
      <c r="R80" s="4" t="s">
        <v>402</v>
      </c>
      <c r="S80" s="4"/>
      <c r="T80" s="4"/>
      <c r="U80" s="4" t="s">
        <v>56</v>
      </c>
      <c r="V80" s="6"/>
      <c r="W80" s="4" t="s">
        <v>57</v>
      </c>
    </row>
    <row r="81" customFormat="false" ht="15" hidden="false" customHeight="false" outlineLevel="0" collapsed="false">
      <c r="A81" s="4" t="s">
        <v>403</v>
      </c>
      <c r="B81" s="4" t="s">
        <v>404</v>
      </c>
      <c r="C81" s="4" t="s">
        <v>117</v>
      </c>
      <c r="D81" s="4" t="s">
        <v>405</v>
      </c>
      <c r="E81" s="4"/>
      <c r="F81" s="4" t="s">
        <v>356</v>
      </c>
      <c r="G81" s="4"/>
      <c r="H81" s="4" t="s">
        <v>35</v>
      </c>
      <c r="I81" s="4"/>
      <c r="J81" s="5"/>
      <c r="K81" s="5"/>
      <c r="L81" s="4"/>
      <c r="M81" s="4" t="s">
        <v>60</v>
      </c>
      <c r="N81" s="4" t="s">
        <v>36</v>
      </c>
      <c r="O81" s="4" t="s">
        <v>53</v>
      </c>
      <c r="P81" s="4"/>
      <c r="Q81" s="4"/>
      <c r="R81" s="4" t="s">
        <v>406</v>
      </c>
      <c r="S81" s="4"/>
      <c r="T81" s="4"/>
      <c r="U81" s="4" t="s">
        <v>56</v>
      </c>
      <c r="V81" s="6"/>
      <c r="W81" s="4" t="s">
        <v>57</v>
      </c>
    </row>
    <row r="82" customFormat="false" ht="15" hidden="false" customHeight="false" outlineLevel="0" collapsed="false">
      <c r="A82" s="4" t="s">
        <v>407</v>
      </c>
      <c r="B82" s="4" t="s">
        <v>408</v>
      </c>
      <c r="C82" s="4" t="s">
        <v>117</v>
      </c>
      <c r="D82" s="4" t="s">
        <v>409</v>
      </c>
      <c r="E82" s="4"/>
      <c r="F82" s="4" t="s">
        <v>356</v>
      </c>
      <c r="G82" s="4"/>
      <c r="H82" s="4" t="s">
        <v>35</v>
      </c>
      <c r="I82" s="4"/>
      <c r="J82" s="5"/>
      <c r="K82" s="5"/>
      <c r="L82" s="4"/>
      <c r="M82" s="4" t="s">
        <v>60</v>
      </c>
      <c r="N82" s="4" t="s">
        <v>36</v>
      </c>
      <c r="O82" s="4" t="s">
        <v>53</v>
      </c>
      <c r="P82" s="4"/>
      <c r="Q82" s="4"/>
      <c r="R82" s="4" t="s">
        <v>410</v>
      </c>
      <c r="S82" s="4"/>
      <c r="T82" s="4"/>
      <c r="U82" s="4" t="s">
        <v>56</v>
      </c>
      <c r="V82" s="6"/>
      <c r="W82" s="4" t="s">
        <v>57</v>
      </c>
    </row>
    <row r="83" customFormat="false" ht="15" hidden="false" customHeight="false" outlineLevel="0" collapsed="false">
      <c r="A83" s="4" t="s">
        <v>411</v>
      </c>
      <c r="B83" s="4" t="s">
        <v>412</v>
      </c>
      <c r="C83" s="4" t="s">
        <v>320</v>
      </c>
      <c r="D83" s="4" t="s">
        <v>413</v>
      </c>
      <c r="E83" s="4"/>
      <c r="F83" s="4" t="s">
        <v>414</v>
      </c>
      <c r="G83" s="4"/>
      <c r="H83" s="4" t="s">
        <v>35</v>
      </c>
      <c r="I83" s="4"/>
      <c r="J83" s="5"/>
      <c r="K83" s="5"/>
      <c r="L83" s="4"/>
      <c r="M83" s="4" t="s">
        <v>36</v>
      </c>
      <c r="N83" s="4" t="s">
        <v>36</v>
      </c>
      <c r="O83" s="4" t="s">
        <v>36</v>
      </c>
      <c r="P83" s="4" t="s">
        <v>415</v>
      </c>
      <c r="Q83" s="4" t="s">
        <v>416</v>
      </c>
      <c r="R83" s="4" t="s">
        <v>417</v>
      </c>
      <c r="S83" s="4" t="s">
        <v>418</v>
      </c>
      <c r="T83" s="4" t="s">
        <v>419</v>
      </c>
      <c r="U83" s="4" t="s">
        <v>42</v>
      </c>
      <c r="V83" s="6" t="n">
        <v>46297</v>
      </c>
      <c r="W83" s="4" t="s">
        <v>50</v>
      </c>
    </row>
    <row r="84" customFormat="false" ht="15" hidden="false" customHeight="false" outlineLevel="0" collapsed="false">
      <c r="A84" s="4" t="s">
        <v>420</v>
      </c>
      <c r="B84" s="4" t="s">
        <v>421</v>
      </c>
      <c r="C84" s="4" t="s">
        <v>117</v>
      </c>
      <c r="D84" s="4" t="s">
        <v>413</v>
      </c>
      <c r="E84" s="4"/>
      <c r="F84" s="4" t="s">
        <v>414</v>
      </c>
      <c r="G84" s="4"/>
      <c r="H84" s="4" t="s">
        <v>35</v>
      </c>
      <c r="I84" s="4"/>
      <c r="J84" s="5"/>
      <c r="K84" s="5"/>
      <c r="L84" s="4"/>
      <c r="M84" s="4" t="s">
        <v>36</v>
      </c>
      <c r="N84" s="4" t="s">
        <v>36</v>
      </c>
      <c r="O84" s="4" t="s">
        <v>53</v>
      </c>
      <c r="P84" s="4"/>
      <c r="Q84" s="4" t="s">
        <v>422</v>
      </c>
      <c r="R84" s="4" t="s">
        <v>423</v>
      </c>
      <c r="S84" s="4"/>
      <c r="T84" s="4"/>
      <c r="U84" s="4" t="s">
        <v>56</v>
      </c>
      <c r="V84" s="6"/>
      <c r="W84" s="4" t="s">
        <v>57</v>
      </c>
    </row>
    <row r="85" customFormat="false" ht="15" hidden="false" customHeight="false" outlineLevel="0" collapsed="false">
      <c r="A85" s="4" t="s">
        <v>424</v>
      </c>
      <c r="B85" s="4" t="s">
        <v>425</v>
      </c>
      <c r="C85" s="4" t="s">
        <v>32</v>
      </c>
      <c r="D85" s="4" t="s">
        <v>413</v>
      </c>
      <c r="E85" s="4"/>
      <c r="F85" s="4" t="s">
        <v>414</v>
      </c>
      <c r="G85" s="4"/>
      <c r="H85" s="4" t="s">
        <v>35</v>
      </c>
      <c r="I85" s="4"/>
      <c r="J85" s="5"/>
      <c r="K85" s="5"/>
      <c r="L85" s="4"/>
      <c r="M85" s="4" t="s">
        <v>60</v>
      </c>
      <c r="N85" s="4" t="s">
        <v>36</v>
      </c>
      <c r="O85" s="4" t="s">
        <v>53</v>
      </c>
      <c r="P85" s="4"/>
      <c r="Q85" s="4" t="s">
        <v>426</v>
      </c>
      <c r="R85" s="4" t="s">
        <v>427</v>
      </c>
      <c r="S85" s="4"/>
      <c r="T85" s="4"/>
      <c r="U85" s="4" t="s">
        <v>56</v>
      </c>
      <c r="V85" s="6"/>
      <c r="W85" s="4" t="s">
        <v>57</v>
      </c>
    </row>
    <row r="86" customFormat="false" ht="15" hidden="false" customHeight="false" outlineLevel="0" collapsed="false">
      <c r="A86" s="4" t="s">
        <v>428</v>
      </c>
      <c r="B86" s="4" t="s">
        <v>429</v>
      </c>
      <c r="C86" s="4" t="s">
        <v>117</v>
      </c>
      <c r="D86" s="4" t="s">
        <v>430</v>
      </c>
      <c r="E86" s="4"/>
      <c r="F86" s="4" t="s">
        <v>414</v>
      </c>
      <c r="G86" s="4"/>
      <c r="H86" s="4" t="s">
        <v>35</v>
      </c>
      <c r="I86" s="4"/>
      <c r="J86" s="5"/>
      <c r="K86" s="5"/>
      <c r="L86" s="4"/>
      <c r="M86" s="4" t="s">
        <v>36</v>
      </c>
      <c r="N86" s="4" t="s">
        <v>36</v>
      </c>
      <c r="O86" s="4" t="s">
        <v>53</v>
      </c>
      <c r="P86" s="4"/>
      <c r="Q86" s="4" t="s">
        <v>431</v>
      </c>
      <c r="R86" s="4" t="s">
        <v>432</v>
      </c>
      <c r="S86" s="4"/>
      <c r="T86" s="4"/>
      <c r="U86" s="4" t="s">
        <v>56</v>
      </c>
      <c r="V86" s="6"/>
      <c r="W86" s="4" t="s">
        <v>57</v>
      </c>
    </row>
    <row r="87" customFormat="false" ht="15" hidden="false" customHeight="false" outlineLevel="0" collapsed="false">
      <c r="A87" s="4" t="s">
        <v>433</v>
      </c>
      <c r="B87" s="4" t="s">
        <v>434</v>
      </c>
      <c r="C87" s="4" t="s">
        <v>117</v>
      </c>
      <c r="D87" s="4" t="s">
        <v>435</v>
      </c>
      <c r="E87" s="4"/>
      <c r="F87" s="4" t="s">
        <v>414</v>
      </c>
      <c r="G87" s="4"/>
      <c r="H87" s="4" t="s">
        <v>35</v>
      </c>
      <c r="I87" s="4"/>
      <c r="J87" s="5"/>
      <c r="K87" s="5"/>
      <c r="L87" s="4"/>
      <c r="M87" s="4" t="s">
        <v>36</v>
      </c>
      <c r="N87" s="4" t="s">
        <v>36</v>
      </c>
      <c r="O87" s="4" t="s">
        <v>53</v>
      </c>
      <c r="P87" s="4"/>
      <c r="Q87" s="4"/>
      <c r="R87" s="4" t="s">
        <v>436</v>
      </c>
      <c r="S87" s="4"/>
      <c r="T87" s="4"/>
      <c r="U87" s="4" t="s">
        <v>56</v>
      </c>
      <c r="V87" s="6"/>
      <c r="W87" s="4" t="s">
        <v>57</v>
      </c>
    </row>
    <row r="88" customFormat="false" ht="15" hidden="false" customHeight="false" outlineLevel="0" collapsed="false">
      <c r="A88" s="4" t="s">
        <v>437</v>
      </c>
      <c r="B88" s="4" t="s">
        <v>438</v>
      </c>
      <c r="C88" s="4" t="s">
        <v>117</v>
      </c>
      <c r="D88" s="4" t="s">
        <v>439</v>
      </c>
      <c r="E88" s="4"/>
      <c r="F88" s="4" t="s">
        <v>414</v>
      </c>
      <c r="G88" s="4"/>
      <c r="H88" s="4" t="s">
        <v>35</v>
      </c>
      <c r="I88" s="4"/>
      <c r="J88" s="5"/>
      <c r="K88" s="5"/>
      <c r="L88" s="4"/>
      <c r="M88" s="4" t="s">
        <v>36</v>
      </c>
      <c r="N88" s="4" t="s">
        <v>36</v>
      </c>
      <c r="O88" s="4" t="s">
        <v>53</v>
      </c>
      <c r="P88" s="4"/>
      <c r="Q88" s="4"/>
      <c r="R88" s="4" t="s">
        <v>440</v>
      </c>
      <c r="S88" s="4"/>
      <c r="T88" s="4"/>
      <c r="U88" s="4" t="s">
        <v>56</v>
      </c>
      <c r="V88" s="6"/>
      <c r="W88" s="4" t="s">
        <v>57</v>
      </c>
    </row>
    <row r="89" customFormat="false" ht="15" hidden="false" customHeight="false" outlineLevel="0" collapsed="false">
      <c r="A89" s="4" t="s">
        <v>441</v>
      </c>
      <c r="B89" s="4" t="s">
        <v>442</v>
      </c>
      <c r="C89" s="4" t="s">
        <v>117</v>
      </c>
      <c r="D89" s="4" t="s">
        <v>443</v>
      </c>
      <c r="E89" s="4"/>
      <c r="F89" s="4" t="s">
        <v>414</v>
      </c>
      <c r="G89" s="4"/>
      <c r="H89" s="4" t="s">
        <v>35</v>
      </c>
      <c r="I89" s="4"/>
      <c r="J89" s="5"/>
      <c r="K89" s="5"/>
      <c r="L89" s="4"/>
      <c r="M89" s="4" t="s">
        <v>60</v>
      </c>
      <c r="N89" s="4" t="s">
        <v>36</v>
      </c>
      <c r="O89" s="4" t="s">
        <v>53</v>
      </c>
      <c r="P89" s="4"/>
      <c r="Q89" s="4"/>
      <c r="R89" s="4" t="s">
        <v>444</v>
      </c>
      <c r="S89" s="4"/>
      <c r="T89" s="4"/>
      <c r="U89" s="4" t="s">
        <v>56</v>
      </c>
      <c r="V89" s="6"/>
      <c r="W89" s="4" t="s">
        <v>57</v>
      </c>
    </row>
    <row r="90" customFormat="false" ht="15" hidden="false" customHeight="false" outlineLevel="0" collapsed="false">
      <c r="A90" s="4" t="s">
        <v>445</v>
      </c>
      <c r="B90" s="4" t="s">
        <v>446</v>
      </c>
      <c r="C90" s="4" t="s">
        <v>117</v>
      </c>
      <c r="D90" s="4" t="s">
        <v>447</v>
      </c>
      <c r="E90" s="4"/>
      <c r="F90" s="4" t="s">
        <v>414</v>
      </c>
      <c r="G90" s="4"/>
      <c r="H90" s="4" t="s">
        <v>35</v>
      </c>
      <c r="I90" s="4"/>
      <c r="J90" s="5"/>
      <c r="K90" s="5"/>
      <c r="L90" s="4"/>
      <c r="M90" s="4" t="s">
        <v>60</v>
      </c>
      <c r="N90" s="4" t="s">
        <v>36</v>
      </c>
      <c r="O90" s="4" t="s">
        <v>53</v>
      </c>
      <c r="P90" s="4"/>
      <c r="Q90" s="4"/>
      <c r="R90" s="4" t="s">
        <v>448</v>
      </c>
      <c r="S90" s="4"/>
      <c r="T90" s="4"/>
      <c r="U90" s="4" t="s">
        <v>56</v>
      </c>
      <c r="V90" s="6"/>
      <c r="W90" s="4" t="s">
        <v>57</v>
      </c>
    </row>
    <row r="91" customFormat="false" ht="15" hidden="false" customHeight="false" outlineLevel="0" collapsed="false">
      <c r="A91" s="4" t="s">
        <v>449</v>
      </c>
      <c r="B91" s="4" t="s">
        <v>450</v>
      </c>
      <c r="C91" s="4" t="s">
        <v>117</v>
      </c>
      <c r="D91" s="4" t="s">
        <v>451</v>
      </c>
      <c r="E91" s="4"/>
      <c r="F91" s="4" t="s">
        <v>414</v>
      </c>
      <c r="G91" s="4"/>
      <c r="H91" s="4" t="s">
        <v>35</v>
      </c>
      <c r="I91" s="4"/>
      <c r="J91" s="5"/>
      <c r="K91" s="5"/>
      <c r="L91" s="4"/>
      <c r="M91" s="4" t="s">
        <v>60</v>
      </c>
      <c r="N91" s="4" t="s">
        <v>36</v>
      </c>
      <c r="O91" s="4" t="s">
        <v>53</v>
      </c>
      <c r="P91" s="4"/>
      <c r="Q91" s="4"/>
      <c r="R91" s="4" t="s">
        <v>452</v>
      </c>
      <c r="S91" s="4"/>
      <c r="T91" s="4"/>
      <c r="U91" s="4" t="s">
        <v>56</v>
      </c>
      <c r="V91" s="6"/>
      <c r="W91" s="4" t="s">
        <v>57</v>
      </c>
    </row>
    <row r="92" customFormat="false" ht="15" hidden="false" customHeight="false" outlineLevel="0" collapsed="false">
      <c r="A92" s="4" t="s">
        <v>453</v>
      </c>
      <c r="B92" s="4" t="s">
        <v>454</v>
      </c>
      <c r="C92" s="4" t="s">
        <v>117</v>
      </c>
      <c r="D92" s="4" t="s">
        <v>455</v>
      </c>
      <c r="E92" s="4"/>
      <c r="F92" s="4" t="s">
        <v>414</v>
      </c>
      <c r="G92" s="4"/>
      <c r="H92" s="4" t="s">
        <v>35</v>
      </c>
      <c r="I92" s="4"/>
      <c r="J92" s="5"/>
      <c r="K92" s="5"/>
      <c r="L92" s="4"/>
      <c r="M92" s="4" t="s">
        <v>60</v>
      </c>
      <c r="N92" s="4" t="s">
        <v>36</v>
      </c>
      <c r="O92" s="4" t="s">
        <v>53</v>
      </c>
      <c r="P92" s="4"/>
      <c r="Q92" s="4"/>
      <c r="R92" s="4" t="s">
        <v>456</v>
      </c>
      <c r="S92" s="4"/>
      <c r="T92" s="4"/>
      <c r="U92" s="4" t="s">
        <v>56</v>
      </c>
      <c r="V92" s="6"/>
      <c r="W92" s="4" t="s">
        <v>57</v>
      </c>
    </row>
    <row r="93" customFormat="false" ht="15" hidden="false" customHeight="false" outlineLevel="0" collapsed="false">
      <c r="A93" s="4" t="s">
        <v>457</v>
      </c>
      <c r="B93" s="4" t="s">
        <v>458</v>
      </c>
      <c r="C93" s="4" t="s">
        <v>117</v>
      </c>
      <c r="D93" s="4" t="s">
        <v>459</v>
      </c>
      <c r="E93" s="4"/>
      <c r="F93" s="4" t="s">
        <v>414</v>
      </c>
      <c r="G93" s="4"/>
      <c r="H93" s="4" t="s">
        <v>35</v>
      </c>
      <c r="I93" s="4"/>
      <c r="J93" s="5"/>
      <c r="K93" s="5"/>
      <c r="L93" s="4"/>
      <c r="M93" s="4" t="s">
        <v>60</v>
      </c>
      <c r="N93" s="4" t="s">
        <v>36</v>
      </c>
      <c r="O93" s="4" t="s">
        <v>53</v>
      </c>
      <c r="P93" s="4"/>
      <c r="Q93" s="4"/>
      <c r="R93" s="4" t="s">
        <v>460</v>
      </c>
      <c r="S93" s="4"/>
      <c r="T93" s="4"/>
      <c r="U93" s="4" t="s">
        <v>56</v>
      </c>
      <c r="V93" s="6"/>
      <c r="W93" s="4" t="s">
        <v>57</v>
      </c>
    </row>
    <row r="94" customFormat="false" ht="15" hidden="false" customHeight="false" outlineLevel="0" collapsed="false">
      <c r="A94" s="4" t="s">
        <v>461</v>
      </c>
      <c r="B94" s="4" t="s">
        <v>462</v>
      </c>
      <c r="C94" s="4" t="s">
        <v>117</v>
      </c>
      <c r="D94" s="4" t="s">
        <v>463</v>
      </c>
      <c r="E94" s="4"/>
      <c r="F94" s="4" t="s">
        <v>414</v>
      </c>
      <c r="G94" s="4"/>
      <c r="H94" s="4" t="s">
        <v>35</v>
      </c>
      <c r="I94" s="4"/>
      <c r="J94" s="5"/>
      <c r="K94" s="5"/>
      <c r="L94" s="4"/>
      <c r="M94" s="4" t="s">
        <v>60</v>
      </c>
      <c r="N94" s="4" t="s">
        <v>36</v>
      </c>
      <c r="O94" s="4" t="s">
        <v>53</v>
      </c>
      <c r="P94" s="4"/>
      <c r="Q94" s="4"/>
      <c r="R94" s="4" t="s">
        <v>464</v>
      </c>
      <c r="S94" s="4"/>
      <c r="T94" s="4"/>
      <c r="U94" s="4" t="s">
        <v>56</v>
      </c>
      <c r="V94" s="6"/>
      <c r="W94" s="4" t="s">
        <v>57</v>
      </c>
    </row>
    <row r="95" customFormat="false" ht="15" hidden="false" customHeight="false" outlineLevel="0" collapsed="false">
      <c r="A95" s="4" t="s">
        <v>465</v>
      </c>
      <c r="B95" s="4" t="s">
        <v>466</v>
      </c>
      <c r="C95" s="4" t="s">
        <v>117</v>
      </c>
      <c r="D95" s="4" t="s">
        <v>467</v>
      </c>
      <c r="E95" s="4"/>
      <c r="F95" s="4" t="s">
        <v>414</v>
      </c>
      <c r="G95" s="4"/>
      <c r="H95" s="4" t="s">
        <v>35</v>
      </c>
      <c r="I95" s="4"/>
      <c r="J95" s="5"/>
      <c r="K95" s="5"/>
      <c r="L95" s="4"/>
      <c r="M95" s="4" t="s">
        <v>60</v>
      </c>
      <c r="N95" s="4" t="s">
        <v>36</v>
      </c>
      <c r="O95" s="4" t="s">
        <v>53</v>
      </c>
      <c r="P95" s="4"/>
      <c r="Q95" s="4"/>
      <c r="R95" s="4" t="s">
        <v>468</v>
      </c>
      <c r="S95" s="4"/>
      <c r="T95" s="4"/>
      <c r="U95" s="4" t="s">
        <v>56</v>
      </c>
      <c r="V95" s="6"/>
      <c r="W95" s="4" t="s">
        <v>57</v>
      </c>
    </row>
    <row r="96" customFormat="false" ht="15" hidden="false" customHeight="false" outlineLevel="0" collapsed="false">
      <c r="A96" s="4" t="s">
        <v>469</v>
      </c>
      <c r="B96" s="4" t="s">
        <v>470</v>
      </c>
      <c r="C96" s="4" t="s">
        <v>117</v>
      </c>
      <c r="D96" s="4" t="s">
        <v>471</v>
      </c>
      <c r="E96" s="4"/>
      <c r="F96" s="4" t="s">
        <v>414</v>
      </c>
      <c r="G96" s="4"/>
      <c r="H96" s="4" t="s">
        <v>35</v>
      </c>
      <c r="I96" s="4"/>
      <c r="J96" s="5"/>
      <c r="K96" s="5"/>
      <c r="L96" s="4"/>
      <c r="M96" s="4" t="s">
        <v>60</v>
      </c>
      <c r="N96" s="4" t="s">
        <v>36</v>
      </c>
      <c r="O96" s="4" t="s">
        <v>53</v>
      </c>
      <c r="P96" s="4"/>
      <c r="Q96" s="4"/>
      <c r="R96" s="4" t="s">
        <v>472</v>
      </c>
      <c r="S96" s="4"/>
      <c r="T96" s="4"/>
      <c r="U96" s="4" t="s">
        <v>56</v>
      </c>
      <c r="V96" s="6"/>
      <c r="W96" s="4" t="s">
        <v>57</v>
      </c>
    </row>
    <row r="97" customFormat="false" ht="15" hidden="false" customHeight="false" outlineLevel="0" collapsed="false">
      <c r="A97" s="4" t="s">
        <v>473</v>
      </c>
      <c r="B97" s="4" t="s">
        <v>474</v>
      </c>
      <c r="C97" s="4" t="s">
        <v>117</v>
      </c>
      <c r="D97" s="4" t="s">
        <v>475</v>
      </c>
      <c r="E97" s="4"/>
      <c r="F97" s="4" t="s">
        <v>414</v>
      </c>
      <c r="G97" s="4"/>
      <c r="H97" s="4" t="s">
        <v>35</v>
      </c>
      <c r="I97" s="4"/>
      <c r="J97" s="5"/>
      <c r="K97" s="5"/>
      <c r="L97" s="4"/>
      <c r="M97" s="4" t="s">
        <v>60</v>
      </c>
      <c r="N97" s="4" t="s">
        <v>36</v>
      </c>
      <c r="O97" s="4" t="s">
        <v>53</v>
      </c>
      <c r="P97" s="4"/>
      <c r="Q97" s="4"/>
      <c r="R97" s="4" t="s">
        <v>476</v>
      </c>
      <c r="S97" s="4"/>
      <c r="T97" s="4"/>
      <c r="U97" s="4" t="s">
        <v>56</v>
      </c>
      <c r="V97" s="6"/>
      <c r="W97" s="4" t="s">
        <v>57</v>
      </c>
    </row>
    <row r="98" customFormat="false" ht="15" hidden="false" customHeight="false" outlineLevel="0" collapsed="false">
      <c r="A98" s="4" t="s">
        <v>477</v>
      </c>
      <c r="B98" s="4" t="s">
        <v>478</v>
      </c>
      <c r="C98" s="4" t="s">
        <v>117</v>
      </c>
      <c r="D98" s="4" t="s">
        <v>479</v>
      </c>
      <c r="E98" s="4"/>
      <c r="F98" s="4" t="s">
        <v>414</v>
      </c>
      <c r="G98" s="4"/>
      <c r="H98" s="4" t="s">
        <v>35</v>
      </c>
      <c r="I98" s="4"/>
      <c r="J98" s="5"/>
      <c r="K98" s="5"/>
      <c r="L98" s="4"/>
      <c r="M98" s="4" t="s">
        <v>60</v>
      </c>
      <c r="N98" s="4" t="s">
        <v>36</v>
      </c>
      <c r="O98" s="4" t="s">
        <v>53</v>
      </c>
      <c r="P98" s="4"/>
      <c r="Q98" s="4"/>
      <c r="R98" s="4" t="s">
        <v>480</v>
      </c>
      <c r="S98" s="4"/>
      <c r="T98" s="4"/>
      <c r="U98" s="4" t="s">
        <v>56</v>
      </c>
      <c r="V98" s="6"/>
      <c r="W98" s="4" t="s">
        <v>57</v>
      </c>
    </row>
    <row r="99" customFormat="false" ht="15" hidden="false" customHeight="false" outlineLevel="0" collapsed="false">
      <c r="A99" s="4" t="s">
        <v>481</v>
      </c>
      <c r="B99" s="4" t="s">
        <v>482</v>
      </c>
      <c r="C99" s="4" t="s">
        <v>117</v>
      </c>
      <c r="D99" s="4" t="s">
        <v>483</v>
      </c>
      <c r="E99" s="4"/>
      <c r="F99" s="4" t="s">
        <v>414</v>
      </c>
      <c r="G99" s="4"/>
      <c r="H99" s="4" t="s">
        <v>35</v>
      </c>
      <c r="I99" s="4"/>
      <c r="J99" s="5"/>
      <c r="K99" s="5"/>
      <c r="L99" s="4"/>
      <c r="M99" s="4" t="s">
        <v>60</v>
      </c>
      <c r="N99" s="4" t="s">
        <v>36</v>
      </c>
      <c r="O99" s="4" t="s">
        <v>53</v>
      </c>
      <c r="P99" s="4"/>
      <c r="Q99" s="4"/>
      <c r="R99" s="4" t="s">
        <v>484</v>
      </c>
      <c r="S99" s="4"/>
      <c r="T99" s="4"/>
      <c r="U99" s="4" t="s">
        <v>56</v>
      </c>
      <c r="V99" s="6"/>
      <c r="W99" s="4" t="s">
        <v>57</v>
      </c>
    </row>
    <row r="100" customFormat="false" ht="15" hidden="false" customHeight="false" outlineLevel="0" collapsed="false">
      <c r="A100" s="4" t="s">
        <v>485</v>
      </c>
      <c r="B100" s="4" t="s">
        <v>486</v>
      </c>
      <c r="C100" s="4" t="s">
        <v>117</v>
      </c>
      <c r="D100" s="4" t="s">
        <v>487</v>
      </c>
      <c r="E100" s="4"/>
      <c r="F100" s="4" t="s">
        <v>414</v>
      </c>
      <c r="G100" s="4"/>
      <c r="H100" s="4" t="s">
        <v>35</v>
      </c>
      <c r="I100" s="4"/>
      <c r="J100" s="5"/>
      <c r="K100" s="5"/>
      <c r="L100" s="4"/>
      <c r="M100" s="4" t="s">
        <v>60</v>
      </c>
      <c r="N100" s="4" t="s">
        <v>36</v>
      </c>
      <c r="O100" s="4" t="s">
        <v>53</v>
      </c>
      <c r="P100" s="4"/>
      <c r="Q100" s="4"/>
      <c r="R100" s="4" t="s">
        <v>488</v>
      </c>
      <c r="S100" s="4"/>
      <c r="T100" s="4"/>
      <c r="U100" s="4" t="s">
        <v>56</v>
      </c>
      <c r="V100" s="6"/>
      <c r="W100" s="4" t="s">
        <v>57</v>
      </c>
    </row>
    <row r="101" customFormat="false" ht="15" hidden="false" customHeight="false" outlineLevel="0" collapsed="false">
      <c r="A101" s="4" t="s">
        <v>489</v>
      </c>
      <c r="B101" s="4" t="s">
        <v>490</v>
      </c>
      <c r="C101" s="4" t="s">
        <v>117</v>
      </c>
      <c r="D101" s="4" t="s">
        <v>491</v>
      </c>
      <c r="E101" s="4"/>
      <c r="F101" s="4" t="s">
        <v>414</v>
      </c>
      <c r="G101" s="4"/>
      <c r="H101" s="4" t="s">
        <v>35</v>
      </c>
      <c r="I101" s="4"/>
      <c r="J101" s="5"/>
      <c r="K101" s="5"/>
      <c r="L101" s="4"/>
      <c r="M101" s="4" t="s">
        <v>60</v>
      </c>
      <c r="N101" s="4" t="s">
        <v>36</v>
      </c>
      <c r="O101" s="4" t="s">
        <v>53</v>
      </c>
      <c r="P101" s="4"/>
      <c r="Q101" s="4"/>
      <c r="R101" s="4" t="s">
        <v>492</v>
      </c>
      <c r="S101" s="4"/>
      <c r="T101" s="4"/>
      <c r="U101" s="4" t="s">
        <v>56</v>
      </c>
      <c r="V101" s="6"/>
      <c r="W101" s="4" t="s">
        <v>57</v>
      </c>
    </row>
    <row r="102" customFormat="false" ht="15" hidden="false" customHeight="false" outlineLevel="0" collapsed="false">
      <c r="A102" s="4" t="s">
        <v>493</v>
      </c>
      <c r="B102" s="4" t="s">
        <v>494</v>
      </c>
      <c r="C102" s="4" t="s">
        <v>320</v>
      </c>
      <c r="D102" s="4" t="s">
        <v>495</v>
      </c>
      <c r="E102" s="4"/>
      <c r="F102" s="4" t="s">
        <v>496</v>
      </c>
      <c r="G102" s="4"/>
      <c r="H102" s="4" t="s">
        <v>35</v>
      </c>
      <c r="I102" s="4"/>
      <c r="J102" s="5"/>
      <c r="K102" s="5"/>
      <c r="L102" s="4"/>
      <c r="M102" s="4" t="s">
        <v>36</v>
      </c>
      <c r="N102" s="4" t="s">
        <v>36</v>
      </c>
      <c r="O102" s="4" t="s">
        <v>53</v>
      </c>
      <c r="P102" s="4"/>
      <c r="Q102" s="4" t="s">
        <v>497</v>
      </c>
      <c r="R102" s="4" t="s">
        <v>498</v>
      </c>
      <c r="S102" s="4"/>
      <c r="T102" s="4"/>
      <c r="U102" s="4" t="s">
        <v>56</v>
      </c>
      <c r="V102" s="6"/>
      <c r="W102" s="4" t="s">
        <v>57</v>
      </c>
    </row>
    <row r="103" customFormat="false" ht="15" hidden="false" customHeight="false" outlineLevel="0" collapsed="false">
      <c r="A103" s="4" t="s">
        <v>499</v>
      </c>
      <c r="B103" s="4" t="s">
        <v>500</v>
      </c>
      <c r="C103" s="4" t="s">
        <v>117</v>
      </c>
      <c r="D103" s="4" t="s">
        <v>501</v>
      </c>
      <c r="E103" s="4"/>
      <c r="F103" s="4" t="s">
        <v>496</v>
      </c>
      <c r="G103" s="4"/>
      <c r="H103" s="4" t="s">
        <v>35</v>
      </c>
      <c r="I103" s="4"/>
      <c r="J103" s="5"/>
      <c r="K103" s="5"/>
      <c r="L103" s="4"/>
      <c r="M103" s="4" t="s">
        <v>36</v>
      </c>
      <c r="N103" s="4" t="s">
        <v>36</v>
      </c>
      <c r="O103" s="4" t="s">
        <v>53</v>
      </c>
      <c r="P103" s="4"/>
      <c r="Q103" s="4"/>
      <c r="R103" s="4" t="s">
        <v>502</v>
      </c>
      <c r="S103" s="4"/>
      <c r="T103" s="4"/>
      <c r="U103" s="4" t="s">
        <v>56</v>
      </c>
      <c r="V103" s="6"/>
      <c r="W103" s="4" t="s">
        <v>57</v>
      </c>
    </row>
    <row r="104" customFormat="false" ht="15" hidden="false" customHeight="false" outlineLevel="0" collapsed="false">
      <c r="A104" s="4" t="s">
        <v>503</v>
      </c>
      <c r="B104" s="4" t="s">
        <v>504</v>
      </c>
      <c r="C104" s="4" t="s">
        <v>117</v>
      </c>
      <c r="D104" s="4" t="s">
        <v>505</v>
      </c>
      <c r="E104" s="4"/>
      <c r="F104" s="4" t="s">
        <v>496</v>
      </c>
      <c r="G104" s="4"/>
      <c r="H104" s="4" t="s">
        <v>35</v>
      </c>
      <c r="I104" s="4"/>
      <c r="J104" s="5"/>
      <c r="K104" s="5"/>
      <c r="L104" s="4"/>
      <c r="M104" s="4" t="s">
        <v>60</v>
      </c>
      <c r="N104" s="4" t="s">
        <v>36</v>
      </c>
      <c r="O104" s="4" t="s">
        <v>53</v>
      </c>
      <c r="P104" s="4"/>
      <c r="Q104" s="4"/>
      <c r="R104" s="4" t="s">
        <v>506</v>
      </c>
      <c r="S104" s="4"/>
      <c r="T104" s="4"/>
      <c r="U104" s="4" t="s">
        <v>56</v>
      </c>
      <c r="V104" s="6"/>
      <c r="W104" s="4" t="s">
        <v>57</v>
      </c>
    </row>
    <row r="105" customFormat="false" ht="15" hidden="false" customHeight="false" outlineLevel="0" collapsed="false">
      <c r="A105" s="4" t="s">
        <v>507</v>
      </c>
      <c r="B105" s="4" t="s">
        <v>508</v>
      </c>
      <c r="C105" s="4" t="s">
        <v>117</v>
      </c>
      <c r="D105" s="4" t="s">
        <v>509</v>
      </c>
      <c r="E105" s="4"/>
      <c r="F105" s="4" t="s">
        <v>496</v>
      </c>
      <c r="G105" s="4"/>
      <c r="H105" s="4" t="s">
        <v>35</v>
      </c>
      <c r="I105" s="4"/>
      <c r="J105" s="5"/>
      <c r="K105" s="5"/>
      <c r="L105" s="4"/>
      <c r="M105" s="4" t="s">
        <v>60</v>
      </c>
      <c r="N105" s="4" t="s">
        <v>36</v>
      </c>
      <c r="O105" s="4" t="s">
        <v>53</v>
      </c>
      <c r="P105" s="4"/>
      <c r="Q105" s="4"/>
      <c r="R105" s="4" t="s">
        <v>510</v>
      </c>
      <c r="S105" s="4"/>
      <c r="T105" s="4"/>
      <c r="U105" s="4" t="s">
        <v>56</v>
      </c>
      <c r="V105" s="6"/>
      <c r="W105" s="4" t="s">
        <v>57</v>
      </c>
    </row>
    <row r="106" customFormat="false" ht="15" hidden="false" customHeight="false" outlineLevel="0" collapsed="false">
      <c r="A106" s="4" t="s">
        <v>511</v>
      </c>
      <c r="B106" s="4" t="s">
        <v>512</v>
      </c>
      <c r="C106" s="4" t="s">
        <v>117</v>
      </c>
      <c r="D106" s="4" t="s">
        <v>513</v>
      </c>
      <c r="E106" s="4"/>
      <c r="F106" s="4" t="s">
        <v>496</v>
      </c>
      <c r="G106" s="4"/>
      <c r="H106" s="4" t="s">
        <v>35</v>
      </c>
      <c r="I106" s="4"/>
      <c r="J106" s="5"/>
      <c r="K106" s="5"/>
      <c r="L106" s="4"/>
      <c r="M106" s="4" t="s">
        <v>60</v>
      </c>
      <c r="N106" s="4" t="s">
        <v>36</v>
      </c>
      <c r="O106" s="4" t="s">
        <v>53</v>
      </c>
      <c r="P106" s="4"/>
      <c r="Q106" s="4"/>
      <c r="R106" s="4" t="s">
        <v>514</v>
      </c>
      <c r="S106" s="4"/>
      <c r="T106" s="4"/>
      <c r="U106" s="4" t="s">
        <v>56</v>
      </c>
      <c r="V106" s="6"/>
      <c r="W106" s="4" t="s">
        <v>57</v>
      </c>
    </row>
    <row r="107" customFormat="false" ht="15" hidden="false" customHeight="false" outlineLevel="0" collapsed="false">
      <c r="A107" s="4" t="s">
        <v>515</v>
      </c>
      <c r="B107" s="4" t="s">
        <v>516</v>
      </c>
      <c r="C107" s="4" t="s">
        <v>117</v>
      </c>
      <c r="D107" s="4" t="s">
        <v>517</v>
      </c>
      <c r="E107" s="4"/>
      <c r="F107" s="4" t="s">
        <v>496</v>
      </c>
      <c r="G107" s="4"/>
      <c r="H107" s="4" t="s">
        <v>35</v>
      </c>
      <c r="I107" s="4"/>
      <c r="J107" s="5"/>
      <c r="K107" s="5"/>
      <c r="L107" s="4"/>
      <c r="M107" s="4" t="s">
        <v>60</v>
      </c>
      <c r="N107" s="4" t="s">
        <v>36</v>
      </c>
      <c r="O107" s="4" t="s">
        <v>53</v>
      </c>
      <c r="P107" s="4"/>
      <c r="Q107" s="4"/>
      <c r="R107" s="4" t="s">
        <v>518</v>
      </c>
      <c r="S107" s="4"/>
      <c r="T107" s="4"/>
      <c r="U107" s="4" t="s">
        <v>56</v>
      </c>
      <c r="V107" s="6"/>
      <c r="W107" s="4" t="s">
        <v>57</v>
      </c>
    </row>
    <row r="108" customFormat="false" ht="15" hidden="false" customHeight="false" outlineLevel="0" collapsed="false">
      <c r="A108" s="4" t="s">
        <v>519</v>
      </c>
      <c r="B108" s="4" t="s">
        <v>520</v>
      </c>
      <c r="C108" s="4" t="s">
        <v>117</v>
      </c>
      <c r="D108" s="4" t="s">
        <v>521</v>
      </c>
      <c r="E108" s="4"/>
      <c r="F108" s="4" t="s">
        <v>496</v>
      </c>
      <c r="G108" s="4"/>
      <c r="H108" s="4" t="s">
        <v>35</v>
      </c>
      <c r="I108" s="4"/>
      <c r="J108" s="5"/>
      <c r="K108" s="5"/>
      <c r="L108" s="4"/>
      <c r="M108" s="4" t="s">
        <v>60</v>
      </c>
      <c r="N108" s="4" t="s">
        <v>36</v>
      </c>
      <c r="O108" s="4" t="s">
        <v>53</v>
      </c>
      <c r="P108" s="4"/>
      <c r="Q108" s="4"/>
      <c r="R108" s="4" t="s">
        <v>522</v>
      </c>
      <c r="S108" s="4"/>
      <c r="T108" s="4"/>
      <c r="U108" s="4" t="s">
        <v>56</v>
      </c>
      <c r="V108" s="6"/>
      <c r="W108" s="4" t="s">
        <v>57</v>
      </c>
    </row>
    <row r="109" customFormat="false" ht="15" hidden="false" customHeight="false" outlineLevel="0" collapsed="false">
      <c r="A109" s="4" t="s">
        <v>523</v>
      </c>
      <c r="B109" s="4" t="s">
        <v>524</v>
      </c>
      <c r="C109" s="4" t="s">
        <v>117</v>
      </c>
      <c r="D109" s="4" t="s">
        <v>525</v>
      </c>
      <c r="E109" s="4"/>
      <c r="F109" s="4" t="s">
        <v>496</v>
      </c>
      <c r="G109" s="4"/>
      <c r="H109" s="4" t="s">
        <v>35</v>
      </c>
      <c r="I109" s="4"/>
      <c r="J109" s="5"/>
      <c r="K109" s="5"/>
      <c r="L109" s="4"/>
      <c r="M109" s="4" t="s">
        <v>60</v>
      </c>
      <c r="N109" s="4" t="s">
        <v>36</v>
      </c>
      <c r="O109" s="4" t="s">
        <v>53</v>
      </c>
      <c r="P109" s="4"/>
      <c r="Q109" s="4"/>
      <c r="R109" s="4" t="s">
        <v>526</v>
      </c>
      <c r="S109" s="4"/>
      <c r="T109" s="4"/>
      <c r="U109" s="4" t="s">
        <v>56</v>
      </c>
      <c r="V109" s="6"/>
      <c r="W109" s="4" t="s">
        <v>57</v>
      </c>
    </row>
    <row r="110" customFormat="false" ht="15" hidden="false" customHeight="false" outlineLevel="0" collapsed="false">
      <c r="A110" s="4" t="s">
        <v>527</v>
      </c>
      <c r="B110" s="4" t="s">
        <v>528</v>
      </c>
      <c r="C110" s="4" t="s">
        <v>117</v>
      </c>
      <c r="D110" s="4" t="s">
        <v>529</v>
      </c>
      <c r="E110" s="4"/>
      <c r="F110" s="4" t="s">
        <v>496</v>
      </c>
      <c r="G110" s="4"/>
      <c r="H110" s="4" t="s">
        <v>35</v>
      </c>
      <c r="I110" s="4"/>
      <c r="J110" s="5"/>
      <c r="K110" s="5"/>
      <c r="L110" s="4"/>
      <c r="M110" s="4" t="s">
        <v>60</v>
      </c>
      <c r="N110" s="4" t="s">
        <v>36</v>
      </c>
      <c r="O110" s="4" t="s">
        <v>53</v>
      </c>
      <c r="P110" s="4"/>
      <c r="Q110" s="4"/>
      <c r="R110" s="4" t="s">
        <v>530</v>
      </c>
      <c r="S110" s="4"/>
      <c r="T110" s="4"/>
      <c r="U110" s="4" t="s">
        <v>56</v>
      </c>
      <c r="V110" s="6"/>
      <c r="W110" s="4" t="s">
        <v>57</v>
      </c>
    </row>
    <row r="111" customFormat="false" ht="15" hidden="false" customHeight="false" outlineLevel="0" collapsed="false">
      <c r="A111" s="4" t="s">
        <v>531</v>
      </c>
      <c r="B111" s="4" t="s">
        <v>532</v>
      </c>
      <c r="C111" s="4" t="s">
        <v>117</v>
      </c>
      <c r="D111" s="4" t="s">
        <v>533</v>
      </c>
      <c r="E111" s="4"/>
      <c r="F111" s="4" t="s">
        <v>496</v>
      </c>
      <c r="G111" s="4"/>
      <c r="H111" s="4" t="s">
        <v>35</v>
      </c>
      <c r="I111" s="4"/>
      <c r="J111" s="5"/>
      <c r="K111" s="5"/>
      <c r="L111" s="4"/>
      <c r="M111" s="4" t="s">
        <v>60</v>
      </c>
      <c r="N111" s="4" t="s">
        <v>36</v>
      </c>
      <c r="O111" s="4" t="s">
        <v>53</v>
      </c>
      <c r="P111" s="4"/>
      <c r="Q111" s="4"/>
      <c r="R111" s="4" t="s">
        <v>534</v>
      </c>
      <c r="S111" s="4"/>
      <c r="T111" s="4"/>
      <c r="U111" s="4" t="s">
        <v>56</v>
      </c>
      <c r="V111" s="6"/>
      <c r="W111" s="4" t="s">
        <v>57</v>
      </c>
    </row>
    <row r="112" customFormat="false" ht="15" hidden="false" customHeight="false" outlineLevel="0" collapsed="false">
      <c r="A112" s="4" t="s">
        <v>535</v>
      </c>
      <c r="B112" s="4" t="s">
        <v>536</v>
      </c>
      <c r="C112" s="4" t="s">
        <v>32</v>
      </c>
      <c r="D112" s="4" t="s">
        <v>537</v>
      </c>
      <c r="E112" s="4"/>
      <c r="F112" s="4" t="s">
        <v>538</v>
      </c>
      <c r="G112" s="4"/>
      <c r="H112" s="4" t="s">
        <v>35</v>
      </c>
      <c r="I112" s="4"/>
      <c r="J112" s="5"/>
      <c r="K112" s="5"/>
      <c r="L112" s="4"/>
      <c r="M112" s="4" t="s">
        <v>36</v>
      </c>
      <c r="N112" s="4" t="s">
        <v>36</v>
      </c>
      <c r="O112" s="4" t="s">
        <v>53</v>
      </c>
      <c r="P112" s="4"/>
      <c r="Q112" s="4" t="s">
        <v>539</v>
      </c>
      <c r="R112" s="4" t="s">
        <v>540</v>
      </c>
      <c r="S112" s="4"/>
      <c r="T112" s="4"/>
      <c r="U112" s="4" t="s">
        <v>56</v>
      </c>
      <c r="V112" s="6"/>
      <c r="W112" s="4" t="s">
        <v>57</v>
      </c>
    </row>
    <row r="113" customFormat="false" ht="15" hidden="false" customHeight="false" outlineLevel="0" collapsed="false">
      <c r="A113" s="4" t="s">
        <v>541</v>
      </c>
      <c r="B113" s="4" t="s">
        <v>542</v>
      </c>
      <c r="C113" s="4" t="s">
        <v>32</v>
      </c>
      <c r="D113" s="4" t="s">
        <v>543</v>
      </c>
      <c r="E113" s="4"/>
      <c r="F113" s="4" t="s">
        <v>538</v>
      </c>
      <c r="G113" s="4"/>
      <c r="H113" s="4" t="s">
        <v>35</v>
      </c>
      <c r="I113" s="4"/>
      <c r="J113" s="5"/>
      <c r="K113" s="5"/>
      <c r="L113" s="4"/>
      <c r="M113" s="4" t="s">
        <v>36</v>
      </c>
      <c r="N113" s="4" t="s">
        <v>36</v>
      </c>
      <c r="O113" s="4" t="s">
        <v>53</v>
      </c>
      <c r="P113" s="4"/>
      <c r="Q113" s="4" t="s">
        <v>544</v>
      </c>
      <c r="R113" s="4" t="s">
        <v>545</v>
      </c>
      <c r="S113" s="4"/>
      <c r="T113" s="4"/>
      <c r="U113" s="4" t="s">
        <v>56</v>
      </c>
      <c r="V113" s="6"/>
      <c r="W113" s="4" t="s">
        <v>57</v>
      </c>
    </row>
    <row r="114" customFormat="false" ht="15" hidden="false" customHeight="false" outlineLevel="0" collapsed="false">
      <c r="A114" s="4" t="s">
        <v>546</v>
      </c>
      <c r="B114" s="4" t="s">
        <v>547</v>
      </c>
      <c r="C114" s="4" t="s">
        <v>117</v>
      </c>
      <c r="D114" s="4" t="s">
        <v>548</v>
      </c>
      <c r="E114" s="4"/>
      <c r="F114" s="4" t="s">
        <v>538</v>
      </c>
      <c r="G114" s="4"/>
      <c r="H114" s="4" t="s">
        <v>35</v>
      </c>
      <c r="I114" s="4"/>
      <c r="J114" s="5"/>
      <c r="K114" s="5"/>
      <c r="L114" s="4"/>
      <c r="M114" s="4" t="s">
        <v>36</v>
      </c>
      <c r="N114" s="4" t="s">
        <v>36</v>
      </c>
      <c r="O114" s="4" t="s">
        <v>53</v>
      </c>
      <c r="P114" s="4"/>
      <c r="Q114" s="4"/>
      <c r="R114" s="4" t="s">
        <v>549</v>
      </c>
      <c r="S114" s="4"/>
      <c r="T114" s="4"/>
      <c r="U114" s="4" t="s">
        <v>56</v>
      </c>
      <c r="V114" s="6"/>
      <c r="W114" s="4" t="s">
        <v>57</v>
      </c>
    </row>
    <row r="115" customFormat="false" ht="15" hidden="false" customHeight="false" outlineLevel="0" collapsed="false">
      <c r="A115" s="4" t="s">
        <v>550</v>
      </c>
      <c r="B115" s="4" t="s">
        <v>551</v>
      </c>
      <c r="C115" s="4" t="s">
        <v>117</v>
      </c>
      <c r="D115" s="4" t="s">
        <v>552</v>
      </c>
      <c r="E115" s="4"/>
      <c r="F115" s="4" t="s">
        <v>538</v>
      </c>
      <c r="G115" s="4"/>
      <c r="H115" s="4" t="s">
        <v>35</v>
      </c>
      <c r="I115" s="4"/>
      <c r="J115" s="5"/>
      <c r="K115" s="5"/>
      <c r="L115" s="4"/>
      <c r="M115" s="4" t="s">
        <v>60</v>
      </c>
      <c r="N115" s="4" t="s">
        <v>36</v>
      </c>
      <c r="O115" s="4" t="s">
        <v>53</v>
      </c>
      <c r="P115" s="4"/>
      <c r="Q115" s="4" t="s">
        <v>553</v>
      </c>
      <c r="R115" s="4" t="s">
        <v>554</v>
      </c>
      <c r="S115" s="4"/>
      <c r="T115" s="4"/>
      <c r="U115" s="4" t="s">
        <v>56</v>
      </c>
      <c r="V115" s="6"/>
      <c r="W115" s="4" t="s">
        <v>57</v>
      </c>
    </row>
    <row r="116" customFormat="false" ht="15" hidden="false" customHeight="false" outlineLevel="0" collapsed="false">
      <c r="A116" s="4" t="s">
        <v>555</v>
      </c>
      <c r="B116" s="4" t="s">
        <v>556</v>
      </c>
      <c r="C116" s="4" t="s">
        <v>117</v>
      </c>
      <c r="D116" s="4" t="s">
        <v>557</v>
      </c>
      <c r="E116" s="4"/>
      <c r="F116" s="4" t="s">
        <v>538</v>
      </c>
      <c r="G116" s="4"/>
      <c r="H116" s="4" t="s">
        <v>35</v>
      </c>
      <c r="I116" s="4"/>
      <c r="J116" s="5"/>
      <c r="K116" s="5"/>
      <c r="L116" s="4"/>
      <c r="M116" s="4" t="s">
        <v>60</v>
      </c>
      <c r="N116" s="4" t="s">
        <v>36</v>
      </c>
      <c r="O116" s="4" t="s">
        <v>53</v>
      </c>
      <c r="P116" s="4"/>
      <c r="Q116" s="4"/>
      <c r="R116" s="4" t="s">
        <v>558</v>
      </c>
      <c r="S116" s="4"/>
      <c r="T116" s="4"/>
      <c r="U116" s="4" t="s">
        <v>56</v>
      </c>
      <c r="V116" s="6"/>
      <c r="W116" s="4" t="s">
        <v>57</v>
      </c>
    </row>
    <row r="117" customFormat="false" ht="15" hidden="false" customHeight="false" outlineLevel="0" collapsed="false">
      <c r="A117" s="4" t="s">
        <v>559</v>
      </c>
      <c r="B117" s="4" t="s">
        <v>560</v>
      </c>
      <c r="C117" s="4" t="s">
        <v>561</v>
      </c>
      <c r="D117" s="4" t="s">
        <v>562</v>
      </c>
      <c r="E117" s="4"/>
      <c r="F117" s="4" t="s">
        <v>538</v>
      </c>
      <c r="G117" s="4"/>
      <c r="H117" s="4" t="s">
        <v>35</v>
      </c>
      <c r="I117" s="4"/>
      <c r="J117" s="5"/>
      <c r="K117" s="5"/>
      <c r="L117" s="4"/>
      <c r="M117" s="4" t="s">
        <v>60</v>
      </c>
      <c r="N117" s="4" t="s">
        <v>36</v>
      </c>
      <c r="O117" s="4" t="s">
        <v>53</v>
      </c>
      <c r="P117" s="4"/>
      <c r="Q117" s="4"/>
      <c r="R117" s="4" t="s">
        <v>563</v>
      </c>
      <c r="S117" s="4"/>
      <c r="T117" s="4"/>
      <c r="U117" s="4" t="s">
        <v>56</v>
      </c>
      <c r="V117" s="6"/>
      <c r="W117" s="4" t="s">
        <v>57</v>
      </c>
    </row>
    <row r="118" customFormat="false" ht="15" hidden="false" customHeight="false" outlineLevel="0" collapsed="false">
      <c r="A118" s="4" t="s">
        <v>564</v>
      </c>
      <c r="B118" s="4" t="s">
        <v>565</v>
      </c>
      <c r="C118" s="4" t="s">
        <v>117</v>
      </c>
      <c r="D118" s="4" t="s">
        <v>566</v>
      </c>
      <c r="E118" s="4"/>
      <c r="F118" s="4" t="s">
        <v>538</v>
      </c>
      <c r="G118" s="4"/>
      <c r="H118" s="4" t="s">
        <v>35</v>
      </c>
      <c r="I118" s="4"/>
      <c r="J118" s="5"/>
      <c r="K118" s="5"/>
      <c r="L118" s="4"/>
      <c r="M118" s="4" t="s">
        <v>60</v>
      </c>
      <c r="N118" s="4" t="s">
        <v>36</v>
      </c>
      <c r="O118" s="4" t="s">
        <v>53</v>
      </c>
      <c r="P118" s="4"/>
      <c r="Q118" s="4" t="s">
        <v>567</v>
      </c>
      <c r="R118" s="4" t="s">
        <v>568</v>
      </c>
      <c r="S118" s="4"/>
      <c r="T118" s="4"/>
      <c r="U118" s="4" t="s">
        <v>56</v>
      </c>
      <c r="V118" s="6"/>
      <c r="W118" s="4" t="s">
        <v>57</v>
      </c>
    </row>
    <row r="119" customFormat="false" ht="15" hidden="false" customHeight="false" outlineLevel="0" collapsed="false">
      <c r="A119" s="4" t="s">
        <v>569</v>
      </c>
      <c r="B119" s="4" t="s">
        <v>570</v>
      </c>
      <c r="C119" s="4" t="s">
        <v>111</v>
      </c>
      <c r="D119" s="4" t="s">
        <v>571</v>
      </c>
      <c r="E119" s="4"/>
      <c r="F119" s="4" t="s">
        <v>572</v>
      </c>
      <c r="G119" s="4"/>
      <c r="H119" s="4" t="s">
        <v>35</v>
      </c>
      <c r="I119" s="4"/>
      <c r="J119" s="5"/>
      <c r="K119" s="5"/>
      <c r="L119" s="4"/>
      <c r="M119" s="4" t="s">
        <v>36</v>
      </c>
      <c r="N119" s="4" t="s">
        <v>36</v>
      </c>
      <c r="O119" s="4" t="s">
        <v>53</v>
      </c>
      <c r="P119" s="4"/>
      <c r="Q119" s="4" t="s">
        <v>573</v>
      </c>
      <c r="R119" s="4" t="s">
        <v>574</v>
      </c>
      <c r="S119" s="4"/>
      <c r="T119" s="4"/>
      <c r="U119" s="4" t="s">
        <v>56</v>
      </c>
      <c r="V119" s="6"/>
      <c r="W119" s="4" t="s">
        <v>57</v>
      </c>
    </row>
    <row r="120" customFormat="false" ht="15" hidden="false" customHeight="false" outlineLevel="0" collapsed="false">
      <c r="A120" s="4" t="s">
        <v>575</v>
      </c>
      <c r="B120" s="4" t="s">
        <v>576</v>
      </c>
      <c r="C120" s="4" t="s">
        <v>111</v>
      </c>
      <c r="D120" s="4" t="s">
        <v>577</v>
      </c>
      <c r="E120" s="4"/>
      <c r="F120" s="4" t="s">
        <v>572</v>
      </c>
      <c r="G120" s="4"/>
      <c r="H120" s="4" t="s">
        <v>35</v>
      </c>
      <c r="I120" s="4"/>
      <c r="J120" s="5"/>
      <c r="K120" s="5"/>
      <c r="L120" s="4"/>
      <c r="M120" s="4" t="s">
        <v>36</v>
      </c>
      <c r="N120" s="4" t="s">
        <v>36</v>
      </c>
      <c r="O120" s="4" t="s">
        <v>53</v>
      </c>
      <c r="P120" s="4"/>
      <c r="Q120" s="4" t="s">
        <v>578</v>
      </c>
      <c r="R120" s="4" t="s">
        <v>579</v>
      </c>
      <c r="S120" s="4"/>
      <c r="T120" s="4"/>
      <c r="U120" s="4" t="s">
        <v>56</v>
      </c>
      <c r="V120" s="6"/>
      <c r="W120" s="4" t="s">
        <v>57</v>
      </c>
    </row>
    <row r="121" customFormat="false" ht="15" hidden="false" customHeight="false" outlineLevel="0" collapsed="false">
      <c r="A121" s="4" t="s">
        <v>580</v>
      </c>
      <c r="B121" s="4" t="s">
        <v>581</v>
      </c>
      <c r="C121" s="4" t="s">
        <v>111</v>
      </c>
      <c r="D121" s="4" t="s">
        <v>582</v>
      </c>
      <c r="E121" s="4"/>
      <c r="F121" s="4" t="s">
        <v>572</v>
      </c>
      <c r="G121" s="4"/>
      <c r="H121" s="4" t="s">
        <v>35</v>
      </c>
      <c r="I121" s="4"/>
      <c r="J121" s="5"/>
      <c r="K121" s="5"/>
      <c r="L121" s="4"/>
      <c r="M121" s="4" t="s">
        <v>36</v>
      </c>
      <c r="N121" s="4" t="s">
        <v>36</v>
      </c>
      <c r="O121" s="4" t="s">
        <v>53</v>
      </c>
      <c r="P121" s="4"/>
      <c r="Q121" s="4" t="s">
        <v>583</v>
      </c>
      <c r="R121" s="4" t="s">
        <v>584</v>
      </c>
      <c r="S121" s="4"/>
      <c r="T121" s="4"/>
      <c r="U121" s="4" t="s">
        <v>56</v>
      </c>
      <c r="V121" s="6"/>
      <c r="W121" s="4" t="s">
        <v>57</v>
      </c>
    </row>
    <row r="122" customFormat="false" ht="15" hidden="false" customHeight="false" outlineLevel="0" collapsed="false">
      <c r="A122" s="4" t="s">
        <v>585</v>
      </c>
      <c r="B122" s="4" t="s">
        <v>586</v>
      </c>
      <c r="C122" s="4" t="s">
        <v>111</v>
      </c>
      <c r="D122" s="4" t="s">
        <v>587</v>
      </c>
      <c r="E122" s="4"/>
      <c r="F122" s="4" t="s">
        <v>572</v>
      </c>
      <c r="G122" s="4"/>
      <c r="H122" s="4" t="s">
        <v>35</v>
      </c>
      <c r="I122" s="4"/>
      <c r="J122" s="5"/>
      <c r="K122" s="5"/>
      <c r="L122" s="4"/>
      <c r="M122" s="4" t="s">
        <v>36</v>
      </c>
      <c r="N122" s="4" t="s">
        <v>36</v>
      </c>
      <c r="O122" s="4" t="s">
        <v>53</v>
      </c>
      <c r="P122" s="4"/>
      <c r="Q122" s="4" t="s">
        <v>588</v>
      </c>
      <c r="R122" s="4" t="s">
        <v>589</v>
      </c>
      <c r="S122" s="4"/>
      <c r="T122" s="4"/>
      <c r="U122" s="4" t="s">
        <v>56</v>
      </c>
      <c r="V122" s="6"/>
      <c r="W122" s="4" t="s">
        <v>57</v>
      </c>
    </row>
    <row r="123" customFormat="false" ht="15" hidden="false" customHeight="false" outlineLevel="0" collapsed="false">
      <c r="A123" s="4" t="s">
        <v>590</v>
      </c>
      <c r="B123" s="4" t="s">
        <v>591</v>
      </c>
      <c r="C123" s="4" t="s">
        <v>117</v>
      </c>
      <c r="D123" s="4" t="s">
        <v>592</v>
      </c>
      <c r="E123" s="4"/>
      <c r="F123" s="4" t="s">
        <v>572</v>
      </c>
      <c r="G123" s="4"/>
      <c r="H123" s="4" t="s">
        <v>35</v>
      </c>
      <c r="I123" s="4"/>
      <c r="J123" s="5"/>
      <c r="K123" s="5"/>
      <c r="L123" s="4"/>
      <c r="M123" s="4" t="s">
        <v>60</v>
      </c>
      <c r="N123" s="4" t="s">
        <v>36</v>
      </c>
      <c r="O123" s="4" t="s">
        <v>53</v>
      </c>
      <c r="P123" s="4"/>
      <c r="Q123" s="4"/>
      <c r="R123" s="4" t="s">
        <v>593</v>
      </c>
      <c r="S123" s="4"/>
      <c r="T123" s="4"/>
      <c r="U123" s="4" t="s">
        <v>56</v>
      </c>
      <c r="V123" s="6"/>
      <c r="W123" s="4" t="s">
        <v>57</v>
      </c>
    </row>
    <row r="124" customFormat="false" ht="15" hidden="false" customHeight="false" outlineLevel="0" collapsed="false">
      <c r="A124" s="4" t="s">
        <v>594</v>
      </c>
      <c r="B124" s="4" t="s">
        <v>595</v>
      </c>
      <c r="C124" s="4" t="s">
        <v>117</v>
      </c>
      <c r="D124" s="4" t="s">
        <v>596</v>
      </c>
      <c r="E124" s="4"/>
      <c r="F124" s="4" t="s">
        <v>572</v>
      </c>
      <c r="G124" s="4"/>
      <c r="H124" s="4" t="s">
        <v>35</v>
      </c>
      <c r="I124" s="4"/>
      <c r="J124" s="5"/>
      <c r="K124" s="5"/>
      <c r="L124" s="4"/>
      <c r="M124" s="4" t="s">
        <v>60</v>
      </c>
      <c r="N124" s="4" t="s">
        <v>36</v>
      </c>
      <c r="O124" s="4" t="s">
        <v>53</v>
      </c>
      <c r="P124" s="4"/>
      <c r="Q124" s="4"/>
      <c r="R124" s="4" t="s">
        <v>597</v>
      </c>
      <c r="S124" s="4"/>
      <c r="T124" s="4"/>
      <c r="U124" s="4" t="s">
        <v>56</v>
      </c>
      <c r="V124" s="6"/>
      <c r="W124" s="4" t="s">
        <v>57</v>
      </c>
    </row>
    <row r="125" customFormat="false" ht="15" hidden="false" customHeight="false" outlineLevel="0" collapsed="false">
      <c r="A125" s="4" t="s">
        <v>598</v>
      </c>
      <c r="B125" s="4" t="s">
        <v>599</v>
      </c>
      <c r="C125" s="4" t="s">
        <v>117</v>
      </c>
      <c r="D125" s="4" t="s">
        <v>600</v>
      </c>
      <c r="E125" s="4"/>
      <c r="F125" s="4" t="s">
        <v>572</v>
      </c>
      <c r="G125" s="4"/>
      <c r="H125" s="4" t="s">
        <v>35</v>
      </c>
      <c r="I125" s="4"/>
      <c r="J125" s="5"/>
      <c r="K125" s="5"/>
      <c r="L125" s="4"/>
      <c r="M125" s="4" t="s">
        <v>60</v>
      </c>
      <c r="N125" s="4" t="s">
        <v>36</v>
      </c>
      <c r="O125" s="4" t="s">
        <v>53</v>
      </c>
      <c r="P125" s="4"/>
      <c r="Q125" s="4"/>
      <c r="R125" s="4" t="s">
        <v>601</v>
      </c>
      <c r="S125" s="4"/>
      <c r="T125" s="4"/>
      <c r="U125" s="4" t="s">
        <v>56</v>
      </c>
      <c r="V125" s="6"/>
      <c r="W125" s="4" t="s">
        <v>57</v>
      </c>
    </row>
    <row r="126" customFormat="false" ht="15" hidden="false" customHeight="false" outlineLevel="0" collapsed="false">
      <c r="A126" s="4" t="s">
        <v>602</v>
      </c>
      <c r="B126" s="4" t="s">
        <v>603</v>
      </c>
      <c r="C126" s="4" t="s">
        <v>117</v>
      </c>
      <c r="D126" s="4" t="s">
        <v>604</v>
      </c>
      <c r="E126" s="4"/>
      <c r="F126" s="4" t="s">
        <v>572</v>
      </c>
      <c r="G126" s="4"/>
      <c r="H126" s="4" t="s">
        <v>35</v>
      </c>
      <c r="I126" s="4"/>
      <c r="J126" s="5"/>
      <c r="K126" s="5"/>
      <c r="L126" s="4"/>
      <c r="M126" s="4" t="s">
        <v>60</v>
      </c>
      <c r="N126" s="4" t="s">
        <v>36</v>
      </c>
      <c r="O126" s="4" t="s">
        <v>53</v>
      </c>
      <c r="P126" s="4"/>
      <c r="Q126" s="4"/>
      <c r="R126" s="4" t="s">
        <v>605</v>
      </c>
      <c r="S126" s="4"/>
      <c r="T126" s="4"/>
      <c r="U126" s="4" t="s">
        <v>56</v>
      </c>
      <c r="V126" s="6"/>
      <c r="W126" s="4" t="s">
        <v>57</v>
      </c>
    </row>
    <row r="127" customFormat="false" ht="15" hidden="false" customHeight="false" outlineLevel="0" collapsed="false">
      <c r="A127" s="4" t="s">
        <v>606</v>
      </c>
      <c r="B127" s="4" t="s">
        <v>607</v>
      </c>
      <c r="C127" s="4" t="s">
        <v>117</v>
      </c>
      <c r="D127" s="4" t="s">
        <v>608</v>
      </c>
      <c r="E127" s="4"/>
      <c r="F127" s="4" t="s">
        <v>572</v>
      </c>
      <c r="G127" s="4"/>
      <c r="H127" s="4" t="s">
        <v>35</v>
      </c>
      <c r="I127" s="4"/>
      <c r="J127" s="5"/>
      <c r="K127" s="5"/>
      <c r="L127" s="4"/>
      <c r="M127" s="4" t="s">
        <v>60</v>
      </c>
      <c r="N127" s="4" t="s">
        <v>36</v>
      </c>
      <c r="O127" s="4" t="s">
        <v>53</v>
      </c>
      <c r="P127" s="4"/>
      <c r="Q127" s="4"/>
      <c r="R127" s="4" t="s">
        <v>609</v>
      </c>
      <c r="S127" s="4"/>
      <c r="T127" s="4"/>
      <c r="U127" s="4" t="s">
        <v>56</v>
      </c>
      <c r="V127" s="6"/>
      <c r="W127" s="4" t="s">
        <v>57</v>
      </c>
    </row>
    <row r="128" customFormat="false" ht="15" hidden="false" customHeight="false" outlineLevel="0" collapsed="false">
      <c r="A128" s="4" t="s">
        <v>610</v>
      </c>
      <c r="B128" s="4" t="s">
        <v>611</v>
      </c>
      <c r="C128" s="4" t="s">
        <v>117</v>
      </c>
      <c r="D128" s="4" t="s">
        <v>612</v>
      </c>
      <c r="E128" s="4"/>
      <c r="F128" s="4" t="s">
        <v>572</v>
      </c>
      <c r="G128" s="4"/>
      <c r="H128" s="4" t="s">
        <v>35</v>
      </c>
      <c r="I128" s="4"/>
      <c r="J128" s="5"/>
      <c r="K128" s="5"/>
      <c r="L128" s="4"/>
      <c r="M128" s="4" t="s">
        <v>60</v>
      </c>
      <c r="N128" s="4" t="s">
        <v>36</v>
      </c>
      <c r="O128" s="4" t="s">
        <v>53</v>
      </c>
      <c r="P128" s="4"/>
      <c r="Q128" s="4"/>
      <c r="R128" s="4" t="s">
        <v>613</v>
      </c>
      <c r="S128" s="4"/>
      <c r="T128" s="4"/>
      <c r="U128" s="4" t="s">
        <v>56</v>
      </c>
      <c r="V128" s="6"/>
      <c r="W128" s="4" t="s">
        <v>57</v>
      </c>
    </row>
    <row r="129" customFormat="false" ht="15" hidden="false" customHeight="false" outlineLevel="0" collapsed="false">
      <c r="A129" s="4" t="s">
        <v>614</v>
      </c>
      <c r="B129" s="4" t="s">
        <v>615</v>
      </c>
      <c r="C129" s="4" t="s">
        <v>117</v>
      </c>
      <c r="D129" s="4" t="s">
        <v>616</v>
      </c>
      <c r="E129" s="4"/>
      <c r="F129" s="4" t="s">
        <v>572</v>
      </c>
      <c r="G129" s="4"/>
      <c r="H129" s="4" t="s">
        <v>35</v>
      </c>
      <c r="I129" s="4"/>
      <c r="J129" s="5"/>
      <c r="K129" s="5"/>
      <c r="L129" s="4"/>
      <c r="M129" s="4" t="s">
        <v>60</v>
      </c>
      <c r="N129" s="4" t="s">
        <v>36</v>
      </c>
      <c r="O129" s="4" t="s">
        <v>53</v>
      </c>
      <c r="P129" s="4"/>
      <c r="Q129" s="4"/>
      <c r="R129" s="4" t="s">
        <v>617</v>
      </c>
      <c r="S129" s="4"/>
      <c r="T129" s="4"/>
      <c r="U129" s="4" t="s">
        <v>56</v>
      </c>
      <c r="V129" s="6"/>
      <c r="W129" s="4" t="s">
        <v>57</v>
      </c>
    </row>
    <row r="130" customFormat="false" ht="15" hidden="false" customHeight="false" outlineLevel="0" collapsed="false">
      <c r="A130" s="4" t="s">
        <v>618</v>
      </c>
      <c r="B130" s="4" t="s">
        <v>619</v>
      </c>
      <c r="C130" s="4" t="s">
        <v>117</v>
      </c>
      <c r="D130" s="4" t="s">
        <v>620</v>
      </c>
      <c r="E130" s="4"/>
      <c r="F130" s="4" t="s">
        <v>572</v>
      </c>
      <c r="G130" s="4"/>
      <c r="H130" s="4" t="s">
        <v>35</v>
      </c>
      <c r="I130" s="4"/>
      <c r="J130" s="5"/>
      <c r="K130" s="5"/>
      <c r="L130" s="4"/>
      <c r="M130" s="4" t="s">
        <v>60</v>
      </c>
      <c r="N130" s="4" t="s">
        <v>36</v>
      </c>
      <c r="O130" s="4" t="s">
        <v>53</v>
      </c>
      <c r="P130" s="4"/>
      <c r="Q130" s="4"/>
      <c r="R130" s="4" t="s">
        <v>621</v>
      </c>
      <c r="S130" s="4"/>
      <c r="T130" s="4"/>
      <c r="U130" s="4" t="s">
        <v>56</v>
      </c>
      <c r="V130" s="6"/>
      <c r="W130" s="4" t="s">
        <v>57</v>
      </c>
    </row>
    <row r="131" customFormat="false" ht="15" hidden="false" customHeight="false" outlineLevel="0" collapsed="false">
      <c r="A131" s="4" t="s">
        <v>622</v>
      </c>
      <c r="B131" s="4" t="s">
        <v>623</v>
      </c>
      <c r="C131" s="4" t="s">
        <v>117</v>
      </c>
      <c r="D131" s="4" t="s">
        <v>624</v>
      </c>
      <c r="E131" s="4"/>
      <c r="F131" s="4" t="s">
        <v>572</v>
      </c>
      <c r="G131" s="4"/>
      <c r="H131" s="4" t="s">
        <v>35</v>
      </c>
      <c r="I131" s="4"/>
      <c r="J131" s="5"/>
      <c r="K131" s="5"/>
      <c r="L131" s="4"/>
      <c r="M131" s="4" t="s">
        <v>60</v>
      </c>
      <c r="N131" s="4" t="s">
        <v>36</v>
      </c>
      <c r="O131" s="4" t="s">
        <v>53</v>
      </c>
      <c r="P131" s="4"/>
      <c r="Q131" s="4"/>
      <c r="R131" s="4" t="s">
        <v>625</v>
      </c>
      <c r="S131" s="4"/>
      <c r="T131" s="4"/>
      <c r="U131" s="4" t="s">
        <v>56</v>
      </c>
      <c r="V131" s="6"/>
      <c r="W131" s="4" t="s">
        <v>57</v>
      </c>
    </row>
    <row r="132" customFormat="false" ht="15" hidden="false" customHeight="false" outlineLevel="0" collapsed="false">
      <c r="A132" s="4" t="s">
        <v>626</v>
      </c>
      <c r="B132" s="4" t="s">
        <v>627</v>
      </c>
      <c r="C132" s="4" t="s">
        <v>117</v>
      </c>
      <c r="D132" s="4" t="s">
        <v>628</v>
      </c>
      <c r="E132" s="4"/>
      <c r="F132" s="4" t="s">
        <v>572</v>
      </c>
      <c r="G132" s="4"/>
      <c r="H132" s="4" t="s">
        <v>35</v>
      </c>
      <c r="I132" s="4"/>
      <c r="J132" s="5"/>
      <c r="K132" s="5"/>
      <c r="L132" s="4"/>
      <c r="M132" s="4" t="s">
        <v>60</v>
      </c>
      <c r="N132" s="4" t="s">
        <v>36</v>
      </c>
      <c r="O132" s="4" t="s">
        <v>53</v>
      </c>
      <c r="P132" s="4"/>
      <c r="Q132" s="4"/>
      <c r="R132" s="4" t="s">
        <v>629</v>
      </c>
      <c r="S132" s="4"/>
      <c r="T132" s="4"/>
      <c r="U132" s="4" t="s">
        <v>56</v>
      </c>
      <c r="V132" s="6"/>
      <c r="W132" s="4" t="s">
        <v>57</v>
      </c>
    </row>
    <row r="133" customFormat="false" ht="15" hidden="false" customHeight="false" outlineLevel="0" collapsed="false">
      <c r="A133" s="4" t="s">
        <v>630</v>
      </c>
      <c r="B133" s="4" t="s">
        <v>631</v>
      </c>
      <c r="C133" s="4" t="s">
        <v>117</v>
      </c>
      <c r="D133" s="4" t="s">
        <v>632</v>
      </c>
      <c r="E133" s="4"/>
      <c r="F133" s="4" t="s">
        <v>572</v>
      </c>
      <c r="G133" s="4"/>
      <c r="H133" s="4" t="s">
        <v>35</v>
      </c>
      <c r="I133" s="4"/>
      <c r="J133" s="5"/>
      <c r="K133" s="5"/>
      <c r="L133" s="4"/>
      <c r="M133" s="4" t="s">
        <v>60</v>
      </c>
      <c r="N133" s="4" t="s">
        <v>36</v>
      </c>
      <c r="O133" s="4" t="s">
        <v>53</v>
      </c>
      <c r="P133" s="4"/>
      <c r="Q133" s="4" t="s">
        <v>633</v>
      </c>
      <c r="R133" s="4" t="s">
        <v>634</v>
      </c>
      <c r="S133" s="4"/>
      <c r="T133" s="4"/>
      <c r="U133" s="4" t="s">
        <v>56</v>
      </c>
      <c r="V133" s="6"/>
      <c r="W133" s="4" t="s">
        <v>57</v>
      </c>
    </row>
    <row r="134" customFormat="false" ht="15" hidden="false" customHeight="false" outlineLevel="0" collapsed="false">
      <c r="A134" s="4" t="s">
        <v>635</v>
      </c>
      <c r="B134" s="4" t="s">
        <v>636</v>
      </c>
      <c r="C134" s="4" t="s">
        <v>117</v>
      </c>
      <c r="D134" s="4" t="s">
        <v>637</v>
      </c>
      <c r="E134" s="4"/>
      <c r="F134" s="4" t="s">
        <v>572</v>
      </c>
      <c r="G134" s="4"/>
      <c r="H134" s="4" t="s">
        <v>35</v>
      </c>
      <c r="I134" s="4"/>
      <c r="J134" s="5"/>
      <c r="K134" s="5"/>
      <c r="L134" s="4"/>
      <c r="M134" s="4" t="s">
        <v>60</v>
      </c>
      <c r="N134" s="4" t="s">
        <v>36</v>
      </c>
      <c r="O134" s="4" t="s">
        <v>53</v>
      </c>
      <c r="P134" s="4"/>
      <c r="Q134" s="4"/>
      <c r="R134" s="4" t="s">
        <v>638</v>
      </c>
      <c r="S134" s="4"/>
      <c r="T134" s="4"/>
      <c r="U134" s="4" t="s">
        <v>56</v>
      </c>
      <c r="V134" s="6"/>
      <c r="W134" s="4" t="s">
        <v>57</v>
      </c>
    </row>
    <row r="135" customFormat="false" ht="15" hidden="false" customHeight="false" outlineLevel="0" collapsed="false">
      <c r="A135" s="4" t="s">
        <v>639</v>
      </c>
      <c r="B135" s="4" t="s">
        <v>640</v>
      </c>
      <c r="C135" s="4" t="s">
        <v>117</v>
      </c>
      <c r="D135" s="4" t="s">
        <v>641</v>
      </c>
      <c r="E135" s="4"/>
      <c r="F135" s="4" t="s">
        <v>642</v>
      </c>
      <c r="G135" s="4"/>
      <c r="H135" s="4" t="s">
        <v>35</v>
      </c>
      <c r="I135" s="4"/>
      <c r="J135" s="5"/>
      <c r="K135" s="5"/>
      <c r="L135" s="4"/>
      <c r="M135" s="4" t="s">
        <v>36</v>
      </c>
      <c r="N135" s="4" t="s">
        <v>36</v>
      </c>
      <c r="O135" s="4" t="s">
        <v>53</v>
      </c>
      <c r="P135" s="4"/>
      <c r="Q135" s="4" t="s">
        <v>643</v>
      </c>
      <c r="R135" s="4" t="s">
        <v>644</v>
      </c>
      <c r="S135" s="4"/>
      <c r="T135" s="4"/>
      <c r="U135" s="4" t="s">
        <v>56</v>
      </c>
      <c r="V135" s="6"/>
      <c r="W135" s="4" t="s">
        <v>57</v>
      </c>
    </row>
    <row r="136" customFormat="false" ht="15" hidden="false" customHeight="false" outlineLevel="0" collapsed="false">
      <c r="A136" s="4" t="s">
        <v>645</v>
      </c>
      <c r="B136" s="4" t="s">
        <v>646</v>
      </c>
      <c r="C136" s="4" t="s">
        <v>117</v>
      </c>
      <c r="D136" s="4" t="s">
        <v>647</v>
      </c>
      <c r="E136" s="4"/>
      <c r="F136" s="4" t="s">
        <v>642</v>
      </c>
      <c r="G136" s="4"/>
      <c r="H136" s="4" t="s">
        <v>35</v>
      </c>
      <c r="I136" s="4"/>
      <c r="J136" s="5"/>
      <c r="K136" s="5"/>
      <c r="L136" s="4"/>
      <c r="M136" s="4" t="s">
        <v>36</v>
      </c>
      <c r="N136" s="4" t="s">
        <v>36</v>
      </c>
      <c r="O136" s="4" t="s">
        <v>53</v>
      </c>
      <c r="P136" s="4"/>
      <c r="Q136" s="4"/>
      <c r="R136" s="4" t="s">
        <v>648</v>
      </c>
      <c r="S136" s="4"/>
      <c r="T136" s="4"/>
      <c r="U136" s="4" t="s">
        <v>56</v>
      </c>
      <c r="V136" s="6"/>
      <c r="W136" s="4" t="s">
        <v>57</v>
      </c>
    </row>
    <row r="137" customFormat="false" ht="15" hidden="false" customHeight="false" outlineLevel="0" collapsed="false">
      <c r="A137" s="4" t="s">
        <v>649</v>
      </c>
      <c r="B137" s="4" t="s">
        <v>650</v>
      </c>
      <c r="C137" s="4" t="s">
        <v>117</v>
      </c>
      <c r="D137" s="4" t="s">
        <v>651</v>
      </c>
      <c r="E137" s="4"/>
      <c r="F137" s="4" t="s">
        <v>642</v>
      </c>
      <c r="G137" s="4"/>
      <c r="H137" s="4" t="s">
        <v>35</v>
      </c>
      <c r="I137" s="4"/>
      <c r="J137" s="5"/>
      <c r="K137" s="5"/>
      <c r="L137" s="4"/>
      <c r="M137" s="4" t="s">
        <v>36</v>
      </c>
      <c r="N137" s="4" t="s">
        <v>36</v>
      </c>
      <c r="O137" s="4" t="s">
        <v>53</v>
      </c>
      <c r="P137" s="4"/>
      <c r="Q137" s="4"/>
      <c r="R137" s="4" t="s">
        <v>652</v>
      </c>
      <c r="S137" s="4"/>
      <c r="T137" s="4"/>
      <c r="U137" s="4" t="s">
        <v>56</v>
      </c>
      <c r="V137" s="6"/>
      <c r="W137" s="4" t="s">
        <v>57</v>
      </c>
    </row>
    <row r="138" customFormat="false" ht="15" hidden="false" customHeight="false" outlineLevel="0" collapsed="false">
      <c r="A138" s="4" t="s">
        <v>653</v>
      </c>
      <c r="B138" s="4" t="s">
        <v>654</v>
      </c>
      <c r="C138" s="4" t="s">
        <v>117</v>
      </c>
      <c r="D138" s="4" t="s">
        <v>651</v>
      </c>
      <c r="E138" s="4"/>
      <c r="F138" s="4" t="s">
        <v>642</v>
      </c>
      <c r="G138" s="4"/>
      <c r="H138" s="4" t="s">
        <v>35</v>
      </c>
      <c r="I138" s="4"/>
      <c r="J138" s="5"/>
      <c r="K138" s="5"/>
      <c r="L138" s="4"/>
      <c r="M138" s="4" t="s">
        <v>60</v>
      </c>
      <c r="N138" s="4" t="s">
        <v>36</v>
      </c>
      <c r="O138" s="4" t="s">
        <v>53</v>
      </c>
      <c r="P138" s="4"/>
      <c r="Q138" s="4"/>
      <c r="R138" s="4" t="s">
        <v>655</v>
      </c>
      <c r="S138" s="4"/>
      <c r="T138" s="4"/>
      <c r="U138" s="4" t="s">
        <v>56</v>
      </c>
      <c r="V138" s="6"/>
      <c r="W138" s="4" t="s">
        <v>57</v>
      </c>
    </row>
    <row r="139" customFormat="false" ht="15" hidden="false" customHeight="false" outlineLevel="0" collapsed="false">
      <c r="A139" s="4" t="s">
        <v>656</v>
      </c>
      <c r="B139" s="4" t="s">
        <v>657</v>
      </c>
      <c r="C139" s="4" t="s">
        <v>117</v>
      </c>
      <c r="D139" s="4" t="s">
        <v>658</v>
      </c>
      <c r="E139" s="4"/>
      <c r="F139" s="4" t="s">
        <v>642</v>
      </c>
      <c r="G139" s="4"/>
      <c r="H139" s="4" t="s">
        <v>35</v>
      </c>
      <c r="I139" s="4"/>
      <c r="J139" s="5"/>
      <c r="K139" s="5"/>
      <c r="L139" s="4"/>
      <c r="M139" s="4" t="s">
        <v>60</v>
      </c>
      <c r="N139" s="4" t="s">
        <v>36</v>
      </c>
      <c r="O139" s="4" t="s">
        <v>53</v>
      </c>
      <c r="P139" s="4"/>
      <c r="Q139" s="4"/>
      <c r="R139" s="4" t="s">
        <v>659</v>
      </c>
      <c r="S139" s="4"/>
      <c r="T139" s="4"/>
      <c r="U139" s="4" t="s">
        <v>56</v>
      </c>
      <c r="V139" s="6"/>
      <c r="W139" s="4" t="s">
        <v>57</v>
      </c>
    </row>
    <row r="140" customFormat="false" ht="15" hidden="false" customHeight="false" outlineLevel="0" collapsed="false">
      <c r="A140" s="4" t="s">
        <v>660</v>
      </c>
      <c r="B140" s="4" t="s">
        <v>661</v>
      </c>
      <c r="C140" s="4" t="s">
        <v>117</v>
      </c>
      <c r="D140" s="4" t="s">
        <v>662</v>
      </c>
      <c r="E140" s="4"/>
      <c r="F140" s="4" t="s">
        <v>642</v>
      </c>
      <c r="G140" s="4"/>
      <c r="H140" s="4" t="s">
        <v>35</v>
      </c>
      <c r="I140" s="4"/>
      <c r="J140" s="5"/>
      <c r="K140" s="5"/>
      <c r="L140" s="4"/>
      <c r="M140" s="4" t="s">
        <v>60</v>
      </c>
      <c r="N140" s="4" t="s">
        <v>36</v>
      </c>
      <c r="O140" s="4" t="s">
        <v>53</v>
      </c>
      <c r="P140" s="4"/>
      <c r="Q140" s="4"/>
      <c r="R140" s="4" t="s">
        <v>663</v>
      </c>
      <c r="S140" s="4"/>
      <c r="T140" s="4"/>
      <c r="U140" s="4" t="s">
        <v>56</v>
      </c>
      <c r="V140" s="6"/>
      <c r="W140" s="4" t="s">
        <v>57</v>
      </c>
    </row>
    <row r="141" customFormat="false" ht="15" hidden="false" customHeight="false" outlineLevel="0" collapsed="false">
      <c r="A141" s="4" t="s">
        <v>664</v>
      </c>
      <c r="B141" s="4" t="s">
        <v>665</v>
      </c>
      <c r="C141" s="4" t="s">
        <v>117</v>
      </c>
      <c r="D141" s="4" t="s">
        <v>666</v>
      </c>
      <c r="E141" s="4"/>
      <c r="F141" s="4" t="s">
        <v>642</v>
      </c>
      <c r="G141" s="4"/>
      <c r="H141" s="4" t="s">
        <v>35</v>
      </c>
      <c r="I141" s="4"/>
      <c r="J141" s="5"/>
      <c r="K141" s="5"/>
      <c r="L141" s="4"/>
      <c r="M141" s="4" t="s">
        <v>60</v>
      </c>
      <c r="N141" s="4" t="s">
        <v>36</v>
      </c>
      <c r="O141" s="4" t="s">
        <v>53</v>
      </c>
      <c r="P141" s="4"/>
      <c r="Q141" s="4"/>
      <c r="R141" s="4" t="s">
        <v>667</v>
      </c>
      <c r="S141" s="4"/>
      <c r="T141" s="4"/>
      <c r="U141" s="4" t="s">
        <v>56</v>
      </c>
      <c r="V141" s="6"/>
      <c r="W141" s="4" t="s">
        <v>57</v>
      </c>
    </row>
    <row r="142" customFormat="false" ht="15" hidden="false" customHeight="false" outlineLevel="0" collapsed="false">
      <c r="A142" s="4" t="s">
        <v>668</v>
      </c>
      <c r="B142" s="4" t="s">
        <v>669</v>
      </c>
      <c r="C142" s="4" t="s">
        <v>117</v>
      </c>
      <c r="D142" s="4" t="s">
        <v>670</v>
      </c>
      <c r="E142" s="4"/>
      <c r="F142" s="4" t="s">
        <v>642</v>
      </c>
      <c r="G142" s="4"/>
      <c r="H142" s="4" t="s">
        <v>35</v>
      </c>
      <c r="I142" s="4"/>
      <c r="J142" s="5"/>
      <c r="K142" s="5"/>
      <c r="L142" s="4"/>
      <c r="M142" s="4" t="s">
        <v>60</v>
      </c>
      <c r="N142" s="4" t="s">
        <v>36</v>
      </c>
      <c r="O142" s="4" t="s">
        <v>53</v>
      </c>
      <c r="P142" s="4"/>
      <c r="Q142" s="4"/>
      <c r="R142" s="4" t="s">
        <v>671</v>
      </c>
      <c r="S142" s="4"/>
      <c r="T142" s="4"/>
      <c r="U142" s="4" t="s">
        <v>56</v>
      </c>
      <c r="V142" s="6"/>
      <c r="W142" s="4" t="s">
        <v>57</v>
      </c>
    </row>
    <row r="143" customFormat="false" ht="15" hidden="false" customHeight="false" outlineLevel="0" collapsed="false">
      <c r="A143" s="4" t="s">
        <v>672</v>
      </c>
      <c r="B143" s="4" t="s">
        <v>673</v>
      </c>
      <c r="C143" s="4" t="s">
        <v>117</v>
      </c>
      <c r="D143" s="4" t="s">
        <v>674</v>
      </c>
      <c r="E143" s="4"/>
      <c r="F143" s="4" t="s">
        <v>642</v>
      </c>
      <c r="G143" s="4"/>
      <c r="H143" s="4" t="s">
        <v>35</v>
      </c>
      <c r="I143" s="4"/>
      <c r="J143" s="5"/>
      <c r="K143" s="5"/>
      <c r="L143" s="4"/>
      <c r="M143" s="4" t="s">
        <v>60</v>
      </c>
      <c r="N143" s="4" t="s">
        <v>36</v>
      </c>
      <c r="O143" s="4" t="s">
        <v>53</v>
      </c>
      <c r="P143" s="4"/>
      <c r="Q143" s="4"/>
      <c r="R143" s="4" t="s">
        <v>675</v>
      </c>
      <c r="S143" s="4"/>
      <c r="T143" s="4"/>
      <c r="U143" s="4" t="s">
        <v>56</v>
      </c>
      <c r="V143" s="6"/>
      <c r="W143" s="4" t="s">
        <v>57</v>
      </c>
    </row>
    <row r="144" customFormat="false" ht="15" hidden="false" customHeight="false" outlineLevel="0" collapsed="false">
      <c r="A144" s="4" t="s">
        <v>676</v>
      </c>
      <c r="B144" s="4" t="s">
        <v>677</v>
      </c>
      <c r="C144" s="4" t="s">
        <v>117</v>
      </c>
      <c r="D144" s="4" t="s">
        <v>678</v>
      </c>
      <c r="E144" s="4"/>
      <c r="F144" s="4" t="s">
        <v>642</v>
      </c>
      <c r="G144" s="4"/>
      <c r="H144" s="4" t="s">
        <v>35</v>
      </c>
      <c r="I144" s="4"/>
      <c r="J144" s="5"/>
      <c r="K144" s="5"/>
      <c r="L144" s="4"/>
      <c r="M144" s="4" t="s">
        <v>60</v>
      </c>
      <c r="N144" s="4" t="s">
        <v>36</v>
      </c>
      <c r="O144" s="4" t="s">
        <v>53</v>
      </c>
      <c r="P144" s="4"/>
      <c r="Q144" s="4"/>
      <c r="R144" s="4" t="s">
        <v>679</v>
      </c>
      <c r="S144" s="4"/>
      <c r="T144" s="4"/>
      <c r="U144" s="4" t="s">
        <v>56</v>
      </c>
      <c r="V144" s="6"/>
      <c r="W144" s="4" t="s">
        <v>57</v>
      </c>
    </row>
    <row r="145" customFormat="false" ht="15" hidden="false" customHeight="false" outlineLevel="0" collapsed="false">
      <c r="A145" s="4" t="s">
        <v>680</v>
      </c>
      <c r="B145" s="4" t="s">
        <v>681</v>
      </c>
      <c r="C145" s="4" t="s">
        <v>117</v>
      </c>
      <c r="D145" s="4" t="s">
        <v>682</v>
      </c>
      <c r="E145" s="4"/>
      <c r="F145" s="4" t="s">
        <v>642</v>
      </c>
      <c r="G145" s="4"/>
      <c r="H145" s="4" t="s">
        <v>35</v>
      </c>
      <c r="I145" s="4"/>
      <c r="J145" s="5"/>
      <c r="K145" s="5"/>
      <c r="L145" s="4"/>
      <c r="M145" s="4" t="s">
        <v>60</v>
      </c>
      <c r="N145" s="4" t="s">
        <v>36</v>
      </c>
      <c r="O145" s="4" t="s">
        <v>53</v>
      </c>
      <c r="P145" s="4"/>
      <c r="Q145" s="4"/>
      <c r="R145" s="4" t="s">
        <v>683</v>
      </c>
      <c r="S145" s="4"/>
      <c r="T145" s="4"/>
      <c r="U145" s="4" t="s">
        <v>56</v>
      </c>
      <c r="V145" s="6"/>
      <c r="W145" s="4" t="s">
        <v>57</v>
      </c>
    </row>
    <row r="146" customFormat="false" ht="15" hidden="false" customHeight="false" outlineLevel="0" collapsed="false">
      <c r="A146" s="4" t="s">
        <v>684</v>
      </c>
      <c r="B146" s="4" t="s">
        <v>685</v>
      </c>
      <c r="C146" s="4" t="s">
        <v>117</v>
      </c>
      <c r="D146" s="4" t="s">
        <v>686</v>
      </c>
      <c r="E146" s="4"/>
      <c r="F146" s="4" t="s">
        <v>642</v>
      </c>
      <c r="G146" s="4"/>
      <c r="H146" s="4" t="s">
        <v>35</v>
      </c>
      <c r="I146" s="4"/>
      <c r="J146" s="5"/>
      <c r="K146" s="5"/>
      <c r="L146" s="4"/>
      <c r="M146" s="4" t="s">
        <v>60</v>
      </c>
      <c r="N146" s="4" t="s">
        <v>36</v>
      </c>
      <c r="O146" s="4" t="s">
        <v>53</v>
      </c>
      <c r="P146" s="4"/>
      <c r="Q146" s="4"/>
      <c r="R146" s="4" t="s">
        <v>687</v>
      </c>
      <c r="S146" s="4"/>
      <c r="T146" s="4"/>
      <c r="U146" s="4" t="s">
        <v>56</v>
      </c>
      <c r="V146" s="6"/>
      <c r="W146" s="4" t="s">
        <v>57</v>
      </c>
    </row>
    <row r="147" customFormat="false" ht="15" hidden="false" customHeight="false" outlineLevel="0" collapsed="false">
      <c r="A147" s="4" t="s">
        <v>688</v>
      </c>
      <c r="B147" s="4" t="s">
        <v>689</v>
      </c>
      <c r="C147" s="4" t="s">
        <v>117</v>
      </c>
      <c r="D147" s="4" t="s">
        <v>690</v>
      </c>
      <c r="E147" s="4"/>
      <c r="F147" s="4" t="s">
        <v>642</v>
      </c>
      <c r="G147" s="4"/>
      <c r="H147" s="4" t="s">
        <v>35</v>
      </c>
      <c r="I147" s="4"/>
      <c r="J147" s="5"/>
      <c r="K147" s="5"/>
      <c r="L147" s="4"/>
      <c r="M147" s="4" t="s">
        <v>60</v>
      </c>
      <c r="N147" s="4" t="s">
        <v>36</v>
      </c>
      <c r="O147" s="4" t="s">
        <v>53</v>
      </c>
      <c r="P147" s="4"/>
      <c r="Q147" s="4"/>
      <c r="R147" s="4" t="s">
        <v>691</v>
      </c>
      <c r="S147" s="4"/>
      <c r="T147" s="4"/>
      <c r="U147" s="4" t="s">
        <v>56</v>
      </c>
      <c r="V147" s="6"/>
      <c r="W147" s="4" t="s">
        <v>57</v>
      </c>
    </row>
    <row r="148" customFormat="false" ht="15" hidden="false" customHeight="false" outlineLevel="0" collapsed="false">
      <c r="A148" s="4" t="s">
        <v>692</v>
      </c>
      <c r="B148" s="4" t="s">
        <v>693</v>
      </c>
      <c r="C148" s="4" t="s">
        <v>117</v>
      </c>
      <c r="D148" s="4" t="s">
        <v>694</v>
      </c>
      <c r="E148" s="4"/>
      <c r="F148" s="4" t="s">
        <v>642</v>
      </c>
      <c r="G148" s="4"/>
      <c r="H148" s="4" t="s">
        <v>35</v>
      </c>
      <c r="I148" s="4"/>
      <c r="J148" s="5"/>
      <c r="K148" s="5"/>
      <c r="L148" s="4"/>
      <c r="M148" s="4" t="s">
        <v>60</v>
      </c>
      <c r="N148" s="4" t="s">
        <v>36</v>
      </c>
      <c r="O148" s="4" t="s">
        <v>53</v>
      </c>
      <c r="P148" s="4"/>
      <c r="Q148" s="4"/>
      <c r="R148" s="4" t="s">
        <v>695</v>
      </c>
      <c r="S148" s="4"/>
      <c r="T148" s="4"/>
      <c r="U148" s="4" t="s">
        <v>56</v>
      </c>
      <c r="V148" s="6"/>
      <c r="W148" s="4" t="s">
        <v>57</v>
      </c>
    </row>
    <row r="149" customFormat="false" ht="15" hidden="false" customHeight="false" outlineLevel="0" collapsed="false">
      <c r="A149" s="4" t="s">
        <v>696</v>
      </c>
      <c r="B149" s="4" t="s">
        <v>697</v>
      </c>
      <c r="C149" s="4" t="s">
        <v>117</v>
      </c>
      <c r="D149" s="4" t="s">
        <v>698</v>
      </c>
      <c r="E149" s="4"/>
      <c r="F149" s="4" t="s">
        <v>642</v>
      </c>
      <c r="G149" s="4"/>
      <c r="H149" s="4" t="s">
        <v>35</v>
      </c>
      <c r="I149" s="4"/>
      <c r="J149" s="5"/>
      <c r="K149" s="5"/>
      <c r="L149" s="4"/>
      <c r="M149" s="4" t="s">
        <v>60</v>
      </c>
      <c r="N149" s="4" t="s">
        <v>36</v>
      </c>
      <c r="O149" s="4" t="s">
        <v>53</v>
      </c>
      <c r="P149" s="4"/>
      <c r="Q149" s="4"/>
      <c r="R149" s="4" t="s">
        <v>699</v>
      </c>
      <c r="S149" s="4"/>
      <c r="T149" s="4"/>
      <c r="U149" s="4" t="s">
        <v>56</v>
      </c>
      <c r="V149" s="6"/>
      <c r="W149" s="4" t="s">
        <v>57</v>
      </c>
    </row>
    <row r="150" customFormat="false" ht="15" hidden="false" customHeight="false" outlineLevel="0" collapsed="false">
      <c r="A150" s="4" t="s">
        <v>700</v>
      </c>
      <c r="B150" s="4" t="s">
        <v>701</v>
      </c>
      <c r="C150" s="4" t="s">
        <v>117</v>
      </c>
      <c r="D150" s="4" t="s">
        <v>702</v>
      </c>
      <c r="E150" s="4"/>
      <c r="F150" s="4" t="s">
        <v>642</v>
      </c>
      <c r="G150" s="4"/>
      <c r="H150" s="4" t="s">
        <v>35</v>
      </c>
      <c r="I150" s="4"/>
      <c r="J150" s="5"/>
      <c r="K150" s="5"/>
      <c r="L150" s="4"/>
      <c r="M150" s="4" t="s">
        <v>60</v>
      </c>
      <c r="N150" s="4" t="s">
        <v>36</v>
      </c>
      <c r="O150" s="4" t="s">
        <v>53</v>
      </c>
      <c r="P150" s="4"/>
      <c r="Q150" s="4"/>
      <c r="R150" s="4" t="s">
        <v>703</v>
      </c>
      <c r="S150" s="4"/>
      <c r="T150" s="4"/>
      <c r="U150" s="4" t="s">
        <v>56</v>
      </c>
      <c r="V150" s="6"/>
      <c r="W150" s="4" t="s">
        <v>57</v>
      </c>
    </row>
    <row r="151" customFormat="false" ht="15" hidden="false" customHeight="false" outlineLevel="0" collapsed="false">
      <c r="A151" s="4" t="s">
        <v>704</v>
      </c>
      <c r="B151" s="4" t="s">
        <v>705</v>
      </c>
      <c r="C151" s="4" t="s">
        <v>320</v>
      </c>
      <c r="D151" s="4" t="s">
        <v>706</v>
      </c>
      <c r="E151" s="4"/>
      <c r="F151" s="4" t="s">
        <v>707</v>
      </c>
      <c r="G151" s="4"/>
      <c r="H151" s="4" t="s">
        <v>35</v>
      </c>
      <c r="I151" s="4"/>
      <c r="J151" s="5"/>
      <c r="K151" s="5"/>
      <c r="L151" s="4"/>
      <c r="M151" s="4" t="s">
        <v>36</v>
      </c>
      <c r="N151" s="4" t="s">
        <v>36</v>
      </c>
      <c r="O151" s="4" t="s">
        <v>53</v>
      </c>
      <c r="P151" s="4"/>
      <c r="Q151" s="4" t="s">
        <v>708</v>
      </c>
      <c r="R151" s="4" t="s">
        <v>709</v>
      </c>
      <c r="S151" s="4"/>
      <c r="T151" s="4"/>
      <c r="U151" s="4" t="s">
        <v>56</v>
      </c>
      <c r="V151" s="6"/>
      <c r="W151" s="4" t="s">
        <v>57</v>
      </c>
    </row>
    <row r="152" customFormat="false" ht="15" hidden="false" customHeight="false" outlineLevel="0" collapsed="false">
      <c r="A152" s="4" t="s">
        <v>710</v>
      </c>
      <c r="B152" s="4" t="s">
        <v>711</v>
      </c>
      <c r="C152" s="4" t="s">
        <v>117</v>
      </c>
      <c r="D152" s="4" t="s">
        <v>706</v>
      </c>
      <c r="E152" s="4"/>
      <c r="F152" s="4" t="s">
        <v>707</v>
      </c>
      <c r="G152" s="4"/>
      <c r="H152" s="4" t="s">
        <v>35</v>
      </c>
      <c r="I152" s="4"/>
      <c r="J152" s="5"/>
      <c r="K152" s="5"/>
      <c r="L152" s="4"/>
      <c r="M152" s="4" t="s">
        <v>60</v>
      </c>
      <c r="N152" s="4" t="s">
        <v>36</v>
      </c>
      <c r="O152" s="4" t="s">
        <v>53</v>
      </c>
      <c r="P152" s="4"/>
      <c r="Q152" s="4" t="s">
        <v>712</v>
      </c>
      <c r="R152" s="4" t="s">
        <v>713</v>
      </c>
      <c r="S152" s="4"/>
      <c r="T152" s="4"/>
      <c r="U152" s="4" t="s">
        <v>56</v>
      </c>
      <c r="V152" s="6"/>
      <c r="W152" s="4" t="s">
        <v>57</v>
      </c>
    </row>
    <row r="153" customFormat="false" ht="15" hidden="false" customHeight="false" outlineLevel="0" collapsed="false">
      <c r="A153" s="4" t="s">
        <v>714</v>
      </c>
      <c r="B153" s="4" t="s">
        <v>715</v>
      </c>
      <c r="C153" s="4" t="s">
        <v>117</v>
      </c>
      <c r="D153" s="4" t="s">
        <v>716</v>
      </c>
      <c r="E153" s="4"/>
      <c r="F153" s="4" t="s">
        <v>707</v>
      </c>
      <c r="G153" s="4"/>
      <c r="H153" s="4" t="s">
        <v>35</v>
      </c>
      <c r="I153" s="4"/>
      <c r="J153" s="5"/>
      <c r="K153" s="5"/>
      <c r="L153" s="4"/>
      <c r="M153" s="4" t="s">
        <v>36</v>
      </c>
      <c r="N153" s="4" t="s">
        <v>36</v>
      </c>
      <c r="O153" s="4" t="s">
        <v>53</v>
      </c>
      <c r="P153" s="4"/>
      <c r="Q153" s="4"/>
      <c r="R153" s="4" t="s">
        <v>717</v>
      </c>
      <c r="S153" s="4"/>
      <c r="T153" s="4"/>
      <c r="U153" s="4" t="s">
        <v>56</v>
      </c>
      <c r="V153" s="6"/>
      <c r="W153" s="4" t="s">
        <v>57</v>
      </c>
    </row>
    <row r="154" customFormat="false" ht="15" hidden="false" customHeight="false" outlineLevel="0" collapsed="false">
      <c r="A154" s="4" t="s">
        <v>718</v>
      </c>
      <c r="B154" s="4" t="s">
        <v>719</v>
      </c>
      <c r="C154" s="4" t="s">
        <v>117</v>
      </c>
      <c r="D154" s="4" t="s">
        <v>720</v>
      </c>
      <c r="E154" s="4"/>
      <c r="F154" s="4" t="s">
        <v>707</v>
      </c>
      <c r="G154" s="4"/>
      <c r="H154" s="4" t="s">
        <v>35</v>
      </c>
      <c r="I154" s="4"/>
      <c r="J154" s="5"/>
      <c r="K154" s="5"/>
      <c r="L154" s="4"/>
      <c r="M154" s="4" t="s">
        <v>36</v>
      </c>
      <c r="N154" s="4" t="s">
        <v>36</v>
      </c>
      <c r="O154" s="4" t="s">
        <v>53</v>
      </c>
      <c r="P154" s="4"/>
      <c r="Q154" s="4"/>
      <c r="R154" s="4" t="s">
        <v>721</v>
      </c>
      <c r="S154" s="4"/>
      <c r="T154" s="4"/>
      <c r="U154" s="4" t="s">
        <v>56</v>
      </c>
      <c r="V154" s="6"/>
      <c r="W154" s="4" t="s">
        <v>57</v>
      </c>
    </row>
    <row r="155" customFormat="false" ht="15" hidden="false" customHeight="false" outlineLevel="0" collapsed="false">
      <c r="A155" s="4" t="s">
        <v>722</v>
      </c>
      <c r="B155" s="4" t="s">
        <v>723</v>
      </c>
      <c r="C155" s="4" t="s">
        <v>117</v>
      </c>
      <c r="D155" s="4" t="s">
        <v>724</v>
      </c>
      <c r="E155" s="4"/>
      <c r="F155" s="4" t="s">
        <v>707</v>
      </c>
      <c r="G155" s="4"/>
      <c r="H155" s="4" t="s">
        <v>35</v>
      </c>
      <c r="I155" s="4"/>
      <c r="J155" s="5"/>
      <c r="K155" s="5"/>
      <c r="L155" s="4"/>
      <c r="M155" s="4" t="s">
        <v>60</v>
      </c>
      <c r="N155" s="4" t="s">
        <v>36</v>
      </c>
      <c r="O155" s="4" t="s">
        <v>53</v>
      </c>
      <c r="P155" s="4"/>
      <c r="Q155" s="4"/>
      <c r="R155" s="4" t="s">
        <v>725</v>
      </c>
      <c r="S155" s="4"/>
      <c r="T155" s="4"/>
      <c r="U155" s="4" t="s">
        <v>56</v>
      </c>
      <c r="V155" s="6"/>
      <c r="W155" s="4" t="s">
        <v>57</v>
      </c>
    </row>
    <row r="156" customFormat="false" ht="15" hidden="false" customHeight="false" outlineLevel="0" collapsed="false">
      <c r="A156" s="4" t="s">
        <v>726</v>
      </c>
      <c r="B156" s="4" t="s">
        <v>727</v>
      </c>
      <c r="C156" s="4" t="s">
        <v>320</v>
      </c>
      <c r="D156" s="4" t="s">
        <v>728</v>
      </c>
      <c r="E156" s="4"/>
      <c r="F156" s="4" t="s">
        <v>707</v>
      </c>
      <c r="G156" s="4"/>
      <c r="H156" s="4" t="s">
        <v>35</v>
      </c>
      <c r="I156" s="4"/>
      <c r="J156" s="5"/>
      <c r="K156" s="5"/>
      <c r="L156" s="4"/>
      <c r="M156" s="4" t="s">
        <v>60</v>
      </c>
      <c r="N156" s="4" t="s">
        <v>36</v>
      </c>
      <c r="O156" s="4" t="s">
        <v>53</v>
      </c>
      <c r="P156" s="4"/>
      <c r="Q156" s="4" t="s">
        <v>729</v>
      </c>
      <c r="R156" s="4" t="s">
        <v>730</v>
      </c>
      <c r="S156" s="4"/>
      <c r="T156" s="4"/>
      <c r="U156" s="4" t="s">
        <v>56</v>
      </c>
      <c r="V156" s="6"/>
      <c r="W156" s="4" t="s">
        <v>57</v>
      </c>
    </row>
    <row r="157" customFormat="false" ht="15" hidden="false" customHeight="false" outlineLevel="0" collapsed="false">
      <c r="A157" s="4" t="s">
        <v>731</v>
      </c>
      <c r="B157" s="4" t="s">
        <v>732</v>
      </c>
      <c r="C157" s="4" t="s">
        <v>117</v>
      </c>
      <c r="D157" s="4" t="s">
        <v>733</v>
      </c>
      <c r="E157" s="4"/>
      <c r="F157" s="4" t="s">
        <v>707</v>
      </c>
      <c r="G157" s="4"/>
      <c r="H157" s="4" t="s">
        <v>35</v>
      </c>
      <c r="I157" s="4"/>
      <c r="J157" s="5"/>
      <c r="K157" s="5"/>
      <c r="L157" s="4"/>
      <c r="M157" s="4" t="s">
        <v>60</v>
      </c>
      <c r="N157" s="4" t="s">
        <v>36</v>
      </c>
      <c r="O157" s="4" t="s">
        <v>53</v>
      </c>
      <c r="P157" s="4"/>
      <c r="Q157" s="4"/>
      <c r="R157" s="4" t="s">
        <v>734</v>
      </c>
      <c r="S157" s="4"/>
      <c r="T157" s="4"/>
      <c r="U157" s="4" t="s">
        <v>56</v>
      </c>
      <c r="V157" s="6"/>
      <c r="W157" s="4" t="s">
        <v>57</v>
      </c>
    </row>
    <row r="158" customFormat="false" ht="15" hidden="false" customHeight="false" outlineLevel="0" collapsed="false">
      <c r="A158" s="4" t="s">
        <v>735</v>
      </c>
      <c r="B158" s="4" t="s">
        <v>736</v>
      </c>
      <c r="C158" s="4" t="s">
        <v>117</v>
      </c>
      <c r="D158" s="4" t="s">
        <v>737</v>
      </c>
      <c r="E158" s="4"/>
      <c r="F158" s="4" t="s">
        <v>707</v>
      </c>
      <c r="G158" s="4"/>
      <c r="H158" s="4" t="s">
        <v>35</v>
      </c>
      <c r="I158" s="4"/>
      <c r="J158" s="5"/>
      <c r="K158" s="5"/>
      <c r="L158" s="4"/>
      <c r="M158" s="4" t="s">
        <v>60</v>
      </c>
      <c r="N158" s="4" t="s">
        <v>36</v>
      </c>
      <c r="O158" s="4" t="s">
        <v>53</v>
      </c>
      <c r="P158" s="4"/>
      <c r="Q158" s="4"/>
      <c r="R158" s="4" t="s">
        <v>738</v>
      </c>
      <c r="S158" s="4"/>
      <c r="T158" s="4"/>
      <c r="U158" s="4" t="s">
        <v>56</v>
      </c>
      <c r="V158" s="6"/>
      <c r="W158" s="4" t="s">
        <v>57</v>
      </c>
    </row>
    <row r="159" customFormat="false" ht="15" hidden="false" customHeight="false" outlineLevel="0" collapsed="false">
      <c r="A159" s="4" t="s">
        <v>739</v>
      </c>
      <c r="B159" s="4" t="s">
        <v>740</v>
      </c>
      <c r="C159" s="4" t="s">
        <v>117</v>
      </c>
      <c r="D159" s="4" t="s">
        <v>501</v>
      </c>
      <c r="E159" s="4"/>
      <c r="F159" s="4" t="s">
        <v>707</v>
      </c>
      <c r="G159" s="4"/>
      <c r="H159" s="4" t="s">
        <v>35</v>
      </c>
      <c r="I159" s="4"/>
      <c r="J159" s="5"/>
      <c r="K159" s="5"/>
      <c r="L159" s="4"/>
      <c r="M159" s="4" t="s">
        <v>60</v>
      </c>
      <c r="N159" s="4" t="s">
        <v>36</v>
      </c>
      <c r="O159" s="4" t="s">
        <v>53</v>
      </c>
      <c r="P159" s="4"/>
      <c r="Q159" s="4"/>
      <c r="R159" s="4" t="s">
        <v>741</v>
      </c>
      <c r="S159" s="4"/>
      <c r="T159" s="4"/>
      <c r="U159" s="4" t="s">
        <v>56</v>
      </c>
      <c r="V159" s="6"/>
      <c r="W159" s="4" t="s">
        <v>57</v>
      </c>
    </row>
    <row r="160" customFormat="false" ht="15" hidden="false" customHeight="false" outlineLevel="0" collapsed="false">
      <c r="A160" s="4" t="s">
        <v>742</v>
      </c>
      <c r="B160" s="4" t="s">
        <v>743</v>
      </c>
      <c r="C160" s="4" t="s">
        <v>117</v>
      </c>
      <c r="D160" s="4" t="s">
        <v>744</v>
      </c>
      <c r="E160" s="4"/>
      <c r="F160" s="4" t="s">
        <v>707</v>
      </c>
      <c r="G160" s="4"/>
      <c r="H160" s="4" t="s">
        <v>35</v>
      </c>
      <c r="I160" s="4"/>
      <c r="J160" s="5"/>
      <c r="K160" s="5"/>
      <c r="L160" s="4"/>
      <c r="M160" s="4" t="s">
        <v>60</v>
      </c>
      <c r="N160" s="4" t="s">
        <v>36</v>
      </c>
      <c r="O160" s="4" t="s">
        <v>53</v>
      </c>
      <c r="P160" s="4"/>
      <c r="Q160" s="4"/>
      <c r="R160" s="4" t="s">
        <v>745</v>
      </c>
      <c r="S160" s="4"/>
      <c r="T160" s="4"/>
      <c r="U160" s="4" t="s">
        <v>56</v>
      </c>
      <c r="V160" s="6"/>
      <c r="W160" s="4" t="s">
        <v>57</v>
      </c>
    </row>
    <row r="161" customFormat="false" ht="15" hidden="false" customHeight="false" outlineLevel="0" collapsed="false">
      <c r="A161" s="4" t="s">
        <v>746</v>
      </c>
      <c r="B161" s="4" t="s">
        <v>747</v>
      </c>
      <c r="C161" s="4" t="s">
        <v>117</v>
      </c>
      <c r="D161" s="4" t="s">
        <v>748</v>
      </c>
      <c r="E161" s="4"/>
      <c r="F161" s="4" t="s">
        <v>707</v>
      </c>
      <c r="G161" s="4"/>
      <c r="H161" s="4" t="s">
        <v>35</v>
      </c>
      <c r="I161" s="4"/>
      <c r="J161" s="5"/>
      <c r="K161" s="5"/>
      <c r="L161" s="4"/>
      <c r="M161" s="4" t="s">
        <v>60</v>
      </c>
      <c r="N161" s="4" t="s">
        <v>36</v>
      </c>
      <c r="O161" s="4" t="s">
        <v>53</v>
      </c>
      <c r="P161" s="4"/>
      <c r="Q161" s="4"/>
      <c r="R161" s="4" t="s">
        <v>749</v>
      </c>
      <c r="S161" s="4"/>
      <c r="T161" s="4"/>
      <c r="U161" s="4" t="s">
        <v>56</v>
      </c>
      <c r="V161" s="6"/>
      <c r="W161" s="4" t="s">
        <v>57</v>
      </c>
    </row>
    <row r="162" customFormat="false" ht="15" hidden="false" customHeight="false" outlineLevel="0" collapsed="false">
      <c r="A162" s="4" t="s">
        <v>750</v>
      </c>
      <c r="B162" s="4" t="s">
        <v>751</v>
      </c>
      <c r="C162" s="4" t="s">
        <v>117</v>
      </c>
      <c r="D162" s="4" t="s">
        <v>752</v>
      </c>
      <c r="E162" s="4"/>
      <c r="F162" s="4" t="s">
        <v>707</v>
      </c>
      <c r="G162" s="4"/>
      <c r="H162" s="4" t="s">
        <v>35</v>
      </c>
      <c r="I162" s="4"/>
      <c r="J162" s="5"/>
      <c r="K162" s="5"/>
      <c r="L162" s="4"/>
      <c r="M162" s="4" t="s">
        <v>60</v>
      </c>
      <c r="N162" s="4" t="s">
        <v>36</v>
      </c>
      <c r="O162" s="4" t="s">
        <v>53</v>
      </c>
      <c r="P162" s="4"/>
      <c r="Q162" s="4"/>
      <c r="R162" s="4" t="s">
        <v>753</v>
      </c>
      <c r="S162" s="4"/>
      <c r="T162" s="4"/>
      <c r="U162" s="4" t="s">
        <v>56</v>
      </c>
      <c r="V162" s="6"/>
      <c r="W162" s="4" t="s">
        <v>57</v>
      </c>
    </row>
    <row r="163" customFormat="false" ht="15" hidden="false" customHeight="false" outlineLevel="0" collapsed="false">
      <c r="A163" s="4" t="s">
        <v>754</v>
      </c>
      <c r="B163" s="4" t="s">
        <v>755</v>
      </c>
      <c r="C163" s="4" t="s">
        <v>117</v>
      </c>
      <c r="D163" s="4" t="s">
        <v>756</v>
      </c>
      <c r="E163" s="4"/>
      <c r="F163" s="4" t="s">
        <v>707</v>
      </c>
      <c r="G163" s="4"/>
      <c r="H163" s="4" t="s">
        <v>35</v>
      </c>
      <c r="I163" s="4"/>
      <c r="J163" s="5"/>
      <c r="K163" s="5"/>
      <c r="L163" s="4"/>
      <c r="M163" s="4" t="s">
        <v>60</v>
      </c>
      <c r="N163" s="4" t="s">
        <v>36</v>
      </c>
      <c r="O163" s="4" t="s">
        <v>53</v>
      </c>
      <c r="P163" s="4"/>
      <c r="Q163" s="4"/>
      <c r="R163" s="4" t="s">
        <v>757</v>
      </c>
      <c r="S163" s="4"/>
      <c r="T163" s="4"/>
      <c r="U163" s="4" t="s">
        <v>56</v>
      </c>
      <c r="V163" s="6"/>
      <c r="W163" s="4" t="s">
        <v>57</v>
      </c>
    </row>
    <row r="164" customFormat="false" ht="15" hidden="false" customHeight="false" outlineLevel="0" collapsed="false">
      <c r="A164" s="4" t="s">
        <v>758</v>
      </c>
      <c r="B164" s="4" t="s">
        <v>759</v>
      </c>
      <c r="C164" s="4" t="s">
        <v>117</v>
      </c>
      <c r="D164" s="4" t="s">
        <v>760</v>
      </c>
      <c r="E164" s="4"/>
      <c r="F164" s="4" t="s">
        <v>707</v>
      </c>
      <c r="G164" s="4"/>
      <c r="H164" s="4" t="s">
        <v>35</v>
      </c>
      <c r="I164" s="4"/>
      <c r="J164" s="5"/>
      <c r="K164" s="5"/>
      <c r="L164" s="4"/>
      <c r="M164" s="4" t="s">
        <v>60</v>
      </c>
      <c r="N164" s="4" t="s">
        <v>36</v>
      </c>
      <c r="O164" s="4" t="s">
        <v>53</v>
      </c>
      <c r="P164" s="4"/>
      <c r="Q164" s="4" t="s">
        <v>761</v>
      </c>
      <c r="R164" s="4" t="s">
        <v>762</v>
      </c>
      <c r="S164" s="4"/>
      <c r="T164" s="4"/>
      <c r="U164" s="4" t="s">
        <v>56</v>
      </c>
      <c r="V164" s="6"/>
      <c r="W164" s="4" t="s">
        <v>57</v>
      </c>
    </row>
    <row r="165" customFormat="false" ht="15" hidden="false" customHeight="false" outlineLevel="0" collapsed="false">
      <c r="A165" s="4" t="s">
        <v>763</v>
      </c>
      <c r="B165" s="4" t="s">
        <v>764</v>
      </c>
      <c r="C165" s="4" t="s">
        <v>117</v>
      </c>
      <c r="D165" s="4" t="s">
        <v>765</v>
      </c>
      <c r="E165" s="4"/>
      <c r="F165" s="4" t="s">
        <v>707</v>
      </c>
      <c r="G165" s="4"/>
      <c r="H165" s="4" t="s">
        <v>35</v>
      </c>
      <c r="I165" s="4"/>
      <c r="J165" s="5"/>
      <c r="K165" s="5"/>
      <c r="L165" s="4"/>
      <c r="M165" s="4" t="s">
        <v>60</v>
      </c>
      <c r="N165" s="4" t="s">
        <v>36</v>
      </c>
      <c r="O165" s="4" t="s">
        <v>53</v>
      </c>
      <c r="P165" s="4"/>
      <c r="Q165" s="4"/>
      <c r="R165" s="4" t="s">
        <v>766</v>
      </c>
      <c r="S165" s="4"/>
      <c r="T165" s="4"/>
      <c r="U165" s="4" t="s">
        <v>56</v>
      </c>
      <c r="V165" s="6"/>
      <c r="W165" s="4" t="s">
        <v>57</v>
      </c>
    </row>
    <row r="166" customFormat="false" ht="15" hidden="false" customHeight="false" outlineLevel="0" collapsed="false">
      <c r="A166" s="4" t="s">
        <v>767</v>
      </c>
      <c r="B166" s="4" t="s">
        <v>768</v>
      </c>
      <c r="C166" s="4" t="s">
        <v>117</v>
      </c>
      <c r="D166" s="4" t="s">
        <v>769</v>
      </c>
      <c r="E166" s="4"/>
      <c r="F166" s="4" t="s">
        <v>770</v>
      </c>
      <c r="G166" s="4"/>
      <c r="H166" s="4" t="s">
        <v>35</v>
      </c>
      <c r="I166" s="4"/>
      <c r="J166" s="5"/>
      <c r="K166" s="5"/>
      <c r="L166" s="4"/>
      <c r="M166" s="4" t="s">
        <v>36</v>
      </c>
      <c r="N166" s="4" t="s">
        <v>36</v>
      </c>
      <c r="O166" s="4" t="s">
        <v>53</v>
      </c>
      <c r="P166" s="4"/>
      <c r="Q166" s="4" t="s">
        <v>771</v>
      </c>
      <c r="R166" s="4" t="s">
        <v>772</v>
      </c>
      <c r="S166" s="4"/>
      <c r="T166" s="4"/>
      <c r="U166" s="4" t="s">
        <v>56</v>
      </c>
      <c r="V166" s="6"/>
      <c r="W166" s="4" t="s">
        <v>57</v>
      </c>
    </row>
    <row r="167" customFormat="false" ht="15" hidden="false" customHeight="false" outlineLevel="0" collapsed="false">
      <c r="A167" s="4" t="s">
        <v>773</v>
      </c>
      <c r="B167" s="4" t="s">
        <v>774</v>
      </c>
      <c r="C167" s="4" t="s">
        <v>320</v>
      </c>
      <c r="D167" s="4" t="s">
        <v>769</v>
      </c>
      <c r="E167" s="4"/>
      <c r="F167" s="4" t="s">
        <v>770</v>
      </c>
      <c r="G167" s="4"/>
      <c r="H167" s="4" t="s">
        <v>35</v>
      </c>
      <c r="I167" s="4"/>
      <c r="J167" s="5"/>
      <c r="K167" s="5"/>
      <c r="L167" s="4"/>
      <c r="M167" s="4" t="s">
        <v>36</v>
      </c>
      <c r="N167" s="4" t="s">
        <v>36</v>
      </c>
      <c r="O167" s="4" t="s">
        <v>53</v>
      </c>
      <c r="P167" s="4"/>
      <c r="Q167" s="4" t="s">
        <v>775</v>
      </c>
      <c r="R167" s="4" t="s">
        <v>776</v>
      </c>
      <c r="S167" s="4"/>
      <c r="T167" s="4"/>
      <c r="U167" s="4" t="s">
        <v>56</v>
      </c>
      <c r="V167" s="6"/>
      <c r="W167" s="4" t="s">
        <v>57</v>
      </c>
    </row>
    <row r="168" customFormat="false" ht="15" hidden="false" customHeight="false" outlineLevel="0" collapsed="false">
      <c r="A168" s="4" t="s">
        <v>777</v>
      </c>
      <c r="B168" s="4" t="s">
        <v>778</v>
      </c>
      <c r="C168" s="4" t="s">
        <v>117</v>
      </c>
      <c r="D168" s="4" t="s">
        <v>779</v>
      </c>
      <c r="E168" s="4"/>
      <c r="F168" s="4" t="s">
        <v>770</v>
      </c>
      <c r="G168" s="4"/>
      <c r="H168" s="4" t="s">
        <v>35</v>
      </c>
      <c r="I168" s="4"/>
      <c r="J168" s="5"/>
      <c r="K168" s="5"/>
      <c r="L168" s="4"/>
      <c r="M168" s="4" t="s">
        <v>36</v>
      </c>
      <c r="N168" s="4" t="s">
        <v>36</v>
      </c>
      <c r="O168" s="4" t="s">
        <v>53</v>
      </c>
      <c r="P168" s="4"/>
      <c r="Q168" s="4" t="s">
        <v>780</v>
      </c>
      <c r="R168" s="4" t="s">
        <v>781</v>
      </c>
      <c r="S168" s="4"/>
      <c r="T168" s="4"/>
      <c r="U168" s="4" t="s">
        <v>56</v>
      </c>
      <c r="V168" s="6"/>
      <c r="W168" s="4" t="s">
        <v>57</v>
      </c>
    </row>
    <row r="169" customFormat="false" ht="15" hidden="false" customHeight="false" outlineLevel="0" collapsed="false">
      <c r="A169" s="4" t="s">
        <v>782</v>
      </c>
      <c r="B169" s="4" t="s">
        <v>783</v>
      </c>
      <c r="C169" s="4" t="s">
        <v>117</v>
      </c>
      <c r="D169" s="4" t="s">
        <v>784</v>
      </c>
      <c r="E169" s="4"/>
      <c r="F169" s="4" t="s">
        <v>770</v>
      </c>
      <c r="G169" s="4"/>
      <c r="H169" s="4" t="s">
        <v>35</v>
      </c>
      <c r="I169" s="4"/>
      <c r="J169" s="5"/>
      <c r="K169" s="5"/>
      <c r="L169" s="4"/>
      <c r="M169" s="4" t="s">
        <v>36</v>
      </c>
      <c r="N169" s="4" t="s">
        <v>36</v>
      </c>
      <c r="O169" s="4" t="s">
        <v>53</v>
      </c>
      <c r="P169" s="4"/>
      <c r="Q169" s="4"/>
      <c r="R169" s="4" t="s">
        <v>785</v>
      </c>
      <c r="S169" s="4"/>
      <c r="T169" s="4"/>
      <c r="U169" s="4" t="s">
        <v>56</v>
      </c>
      <c r="V169" s="6"/>
      <c r="W169" s="4" t="s">
        <v>57</v>
      </c>
    </row>
    <row r="170" customFormat="false" ht="15" hidden="false" customHeight="false" outlineLevel="0" collapsed="false">
      <c r="A170" s="4" t="s">
        <v>786</v>
      </c>
      <c r="B170" s="4" t="s">
        <v>787</v>
      </c>
      <c r="C170" s="4" t="s">
        <v>117</v>
      </c>
      <c r="D170" s="4" t="s">
        <v>788</v>
      </c>
      <c r="E170" s="4"/>
      <c r="F170" s="4" t="s">
        <v>770</v>
      </c>
      <c r="G170" s="4"/>
      <c r="H170" s="4" t="s">
        <v>35</v>
      </c>
      <c r="I170" s="4"/>
      <c r="J170" s="5"/>
      <c r="K170" s="5"/>
      <c r="L170" s="4"/>
      <c r="M170" s="4" t="s">
        <v>60</v>
      </c>
      <c r="N170" s="4" t="s">
        <v>36</v>
      </c>
      <c r="O170" s="4" t="s">
        <v>53</v>
      </c>
      <c r="P170" s="4"/>
      <c r="Q170" s="4" t="s">
        <v>789</v>
      </c>
      <c r="R170" s="4" t="s">
        <v>790</v>
      </c>
      <c r="S170" s="4"/>
      <c r="T170" s="4"/>
      <c r="U170" s="4" t="s">
        <v>56</v>
      </c>
      <c r="V170" s="6"/>
      <c r="W170" s="4" t="s">
        <v>57</v>
      </c>
    </row>
    <row r="171" customFormat="false" ht="15" hidden="false" customHeight="false" outlineLevel="0" collapsed="false">
      <c r="A171" s="4" t="s">
        <v>791</v>
      </c>
      <c r="B171" s="4" t="s">
        <v>792</v>
      </c>
      <c r="C171" s="4" t="s">
        <v>117</v>
      </c>
      <c r="D171" s="4" t="s">
        <v>793</v>
      </c>
      <c r="E171" s="4"/>
      <c r="F171" s="4" t="s">
        <v>770</v>
      </c>
      <c r="G171" s="4"/>
      <c r="H171" s="4" t="s">
        <v>35</v>
      </c>
      <c r="I171" s="4"/>
      <c r="J171" s="5"/>
      <c r="K171" s="5"/>
      <c r="L171" s="4"/>
      <c r="M171" s="4" t="s">
        <v>60</v>
      </c>
      <c r="N171" s="4" t="s">
        <v>36</v>
      </c>
      <c r="O171" s="4" t="s">
        <v>53</v>
      </c>
      <c r="P171" s="4"/>
      <c r="Q171" s="4"/>
      <c r="R171" s="4" t="s">
        <v>794</v>
      </c>
      <c r="S171" s="4"/>
      <c r="T171" s="4"/>
      <c r="U171" s="4" t="s">
        <v>56</v>
      </c>
      <c r="V171" s="6"/>
      <c r="W171" s="4" t="s">
        <v>57</v>
      </c>
    </row>
    <row r="172" customFormat="false" ht="15" hidden="false" customHeight="false" outlineLevel="0" collapsed="false">
      <c r="A172" s="4" t="s">
        <v>795</v>
      </c>
      <c r="B172" s="4" t="s">
        <v>796</v>
      </c>
      <c r="C172" s="4" t="s">
        <v>117</v>
      </c>
      <c r="D172" s="4" t="s">
        <v>797</v>
      </c>
      <c r="E172" s="4"/>
      <c r="F172" s="4" t="s">
        <v>770</v>
      </c>
      <c r="G172" s="4"/>
      <c r="H172" s="4" t="s">
        <v>35</v>
      </c>
      <c r="I172" s="4"/>
      <c r="J172" s="5"/>
      <c r="K172" s="5"/>
      <c r="L172" s="4"/>
      <c r="M172" s="4" t="s">
        <v>60</v>
      </c>
      <c r="N172" s="4" t="s">
        <v>36</v>
      </c>
      <c r="O172" s="4" t="s">
        <v>53</v>
      </c>
      <c r="P172" s="4"/>
      <c r="Q172" s="4"/>
      <c r="R172" s="4" t="s">
        <v>798</v>
      </c>
      <c r="S172" s="4"/>
      <c r="T172" s="4"/>
      <c r="U172" s="4" t="s">
        <v>56</v>
      </c>
      <c r="V172" s="6"/>
      <c r="W172" s="4" t="s">
        <v>57</v>
      </c>
    </row>
    <row r="173" customFormat="false" ht="15" hidden="false" customHeight="false" outlineLevel="0" collapsed="false">
      <c r="A173" s="4" t="s">
        <v>799</v>
      </c>
      <c r="B173" s="4" t="s">
        <v>800</v>
      </c>
      <c r="C173" s="4" t="s">
        <v>117</v>
      </c>
      <c r="D173" s="4" t="s">
        <v>801</v>
      </c>
      <c r="E173" s="4"/>
      <c r="F173" s="4" t="s">
        <v>770</v>
      </c>
      <c r="G173" s="4"/>
      <c r="H173" s="4" t="s">
        <v>35</v>
      </c>
      <c r="I173" s="4"/>
      <c r="J173" s="5"/>
      <c r="K173" s="5"/>
      <c r="L173" s="4"/>
      <c r="M173" s="4" t="s">
        <v>60</v>
      </c>
      <c r="N173" s="4" t="s">
        <v>36</v>
      </c>
      <c r="O173" s="4" t="s">
        <v>53</v>
      </c>
      <c r="P173" s="4"/>
      <c r="Q173" s="4"/>
      <c r="R173" s="4" t="s">
        <v>802</v>
      </c>
      <c r="S173" s="4"/>
      <c r="T173" s="4"/>
      <c r="U173" s="4" t="s">
        <v>56</v>
      </c>
      <c r="V173" s="6"/>
      <c r="W173" s="4" t="s">
        <v>57</v>
      </c>
    </row>
    <row r="174" customFormat="false" ht="15" hidden="false" customHeight="false" outlineLevel="0" collapsed="false">
      <c r="A174" s="4" t="s">
        <v>803</v>
      </c>
      <c r="B174" s="4" t="s">
        <v>804</v>
      </c>
      <c r="C174" s="4" t="s">
        <v>117</v>
      </c>
      <c r="D174" s="4" t="s">
        <v>805</v>
      </c>
      <c r="E174" s="4"/>
      <c r="F174" s="4" t="s">
        <v>770</v>
      </c>
      <c r="G174" s="4"/>
      <c r="H174" s="4" t="s">
        <v>35</v>
      </c>
      <c r="I174" s="4"/>
      <c r="J174" s="5"/>
      <c r="K174" s="5"/>
      <c r="L174" s="4"/>
      <c r="M174" s="4" t="s">
        <v>60</v>
      </c>
      <c r="N174" s="4" t="s">
        <v>36</v>
      </c>
      <c r="O174" s="4" t="s">
        <v>53</v>
      </c>
      <c r="P174" s="4"/>
      <c r="Q174" s="4"/>
      <c r="R174" s="4" t="s">
        <v>806</v>
      </c>
      <c r="S174" s="4"/>
      <c r="T174" s="4"/>
      <c r="U174" s="4" t="s">
        <v>56</v>
      </c>
      <c r="V174" s="6"/>
      <c r="W174" s="4" t="s">
        <v>57</v>
      </c>
    </row>
    <row r="175" customFormat="false" ht="15" hidden="false" customHeight="false" outlineLevel="0" collapsed="false">
      <c r="A175" s="4" t="s">
        <v>807</v>
      </c>
      <c r="B175" s="4" t="s">
        <v>808</v>
      </c>
      <c r="C175" s="4" t="s">
        <v>117</v>
      </c>
      <c r="D175" s="4" t="s">
        <v>809</v>
      </c>
      <c r="E175" s="4"/>
      <c r="F175" s="4" t="s">
        <v>770</v>
      </c>
      <c r="G175" s="4"/>
      <c r="H175" s="4" t="s">
        <v>35</v>
      </c>
      <c r="I175" s="4"/>
      <c r="J175" s="5"/>
      <c r="K175" s="5"/>
      <c r="L175" s="4"/>
      <c r="M175" s="4" t="s">
        <v>60</v>
      </c>
      <c r="N175" s="4" t="s">
        <v>36</v>
      </c>
      <c r="O175" s="4" t="s">
        <v>53</v>
      </c>
      <c r="P175" s="4"/>
      <c r="Q175" s="4" t="s">
        <v>810</v>
      </c>
      <c r="R175" s="4" t="s">
        <v>811</v>
      </c>
      <c r="S175" s="4"/>
      <c r="T175" s="4"/>
      <c r="U175" s="4" t="s">
        <v>56</v>
      </c>
      <c r="V175" s="6"/>
      <c r="W175" s="4" t="s">
        <v>57</v>
      </c>
    </row>
    <row r="176" customFormat="false" ht="15" hidden="false" customHeight="false" outlineLevel="0" collapsed="false">
      <c r="A176" s="4" t="s">
        <v>812</v>
      </c>
      <c r="B176" s="4" t="s">
        <v>813</v>
      </c>
      <c r="C176" s="4" t="s">
        <v>111</v>
      </c>
      <c r="D176" s="4" t="s">
        <v>814</v>
      </c>
      <c r="E176" s="4"/>
      <c r="F176" s="4" t="s">
        <v>815</v>
      </c>
      <c r="G176" s="4"/>
      <c r="H176" s="4" t="s">
        <v>35</v>
      </c>
      <c r="I176" s="4"/>
      <c r="J176" s="5"/>
      <c r="K176" s="5"/>
      <c r="L176" s="4"/>
      <c r="M176" s="4" t="s">
        <v>36</v>
      </c>
      <c r="N176" s="4" t="s">
        <v>36</v>
      </c>
      <c r="O176" s="4" t="s">
        <v>53</v>
      </c>
      <c r="P176" s="4"/>
      <c r="Q176" s="4" t="s">
        <v>816</v>
      </c>
      <c r="R176" s="4" t="s">
        <v>817</v>
      </c>
      <c r="S176" s="4"/>
      <c r="T176" s="4"/>
      <c r="U176" s="4" t="s">
        <v>56</v>
      </c>
      <c r="V176" s="6"/>
      <c r="W176" s="4" t="s">
        <v>57</v>
      </c>
    </row>
    <row r="177" customFormat="false" ht="15" hidden="false" customHeight="false" outlineLevel="0" collapsed="false">
      <c r="A177" s="4" t="s">
        <v>818</v>
      </c>
      <c r="B177" s="4" t="s">
        <v>819</v>
      </c>
      <c r="C177" s="4" t="s">
        <v>32</v>
      </c>
      <c r="D177" s="4" t="s">
        <v>814</v>
      </c>
      <c r="E177" s="4"/>
      <c r="F177" s="4" t="s">
        <v>815</v>
      </c>
      <c r="G177" s="4"/>
      <c r="H177" s="4" t="s">
        <v>35</v>
      </c>
      <c r="I177" s="4"/>
      <c r="J177" s="5"/>
      <c r="K177" s="5"/>
      <c r="L177" s="4"/>
      <c r="M177" s="4" t="s">
        <v>60</v>
      </c>
      <c r="N177" s="4" t="s">
        <v>36</v>
      </c>
      <c r="O177" s="4" t="s">
        <v>53</v>
      </c>
      <c r="P177" s="4"/>
      <c r="Q177" s="4" t="s">
        <v>820</v>
      </c>
      <c r="R177" s="4" t="s">
        <v>821</v>
      </c>
      <c r="S177" s="4"/>
      <c r="T177" s="4"/>
      <c r="U177" s="4" t="s">
        <v>56</v>
      </c>
      <c r="V177" s="6"/>
      <c r="W177" s="4" t="s">
        <v>57</v>
      </c>
    </row>
    <row r="178" customFormat="false" ht="15" hidden="false" customHeight="false" outlineLevel="0" collapsed="false">
      <c r="A178" s="4" t="s">
        <v>822</v>
      </c>
      <c r="B178" s="4" t="s">
        <v>823</v>
      </c>
      <c r="C178" s="4" t="s">
        <v>32</v>
      </c>
      <c r="D178" s="4" t="s">
        <v>814</v>
      </c>
      <c r="E178" s="4"/>
      <c r="F178" s="4" t="s">
        <v>815</v>
      </c>
      <c r="G178" s="4"/>
      <c r="H178" s="4" t="s">
        <v>35</v>
      </c>
      <c r="I178" s="4"/>
      <c r="J178" s="5"/>
      <c r="K178" s="5"/>
      <c r="L178" s="4"/>
      <c r="M178" s="4" t="s">
        <v>60</v>
      </c>
      <c r="N178" s="4" t="s">
        <v>36</v>
      </c>
      <c r="O178" s="4" t="s">
        <v>53</v>
      </c>
      <c r="P178" s="4"/>
      <c r="Q178" s="4" t="s">
        <v>824</v>
      </c>
      <c r="R178" s="4" t="s">
        <v>825</v>
      </c>
      <c r="S178" s="4"/>
      <c r="T178" s="4"/>
      <c r="U178" s="4" t="s">
        <v>56</v>
      </c>
      <c r="V178" s="6"/>
      <c r="W178" s="4" t="s">
        <v>57</v>
      </c>
    </row>
    <row r="179" customFormat="false" ht="15" hidden="false" customHeight="false" outlineLevel="0" collapsed="false">
      <c r="A179" s="4" t="s">
        <v>826</v>
      </c>
      <c r="B179" s="4" t="s">
        <v>827</v>
      </c>
      <c r="C179" s="4" t="s">
        <v>111</v>
      </c>
      <c r="D179" s="4" t="s">
        <v>828</v>
      </c>
      <c r="E179" s="4"/>
      <c r="F179" s="4" t="s">
        <v>815</v>
      </c>
      <c r="G179" s="4"/>
      <c r="H179" s="4" t="s">
        <v>35</v>
      </c>
      <c r="I179" s="4"/>
      <c r="J179" s="5"/>
      <c r="K179" s="5"/>
      <c r="L179" s="4"/>
      <c r="M179" s="4" t="s">
        <v>36</v>
      </c>
      <c r="N179" s="4" t="s">
        <v>36</v>
      </c>
      <c r="O179" s="4" t="s">
        <v>53</v>
      </c>
      <c r="P179" s="4"/>
      <c r="Q179" s="4" t="s">
        <v>829</v>
      </c>
      <c r="R179" s="4" t="s">
        <v>830</v>
      </c>
      <c r="S179" s="4"/>
      <c r="T179" s="4"/>
      <c r="U179" s="4" t="s">
        <v>56</v>
      </c>
      <c r="V179" s="6"/>
      <c r="W179" s="4" t="s">
        <v>57</v>
      </c>
    </row>
    <row r="180" customFormat="false" ht="15" hidden="false" customHeight="false" outlineLevel="0" collapsed="false">
      <c r="A180" s="4" t="s">
        <v>831</v>
      </c>
      <c r="B180" s="4" t="s">
        <v>832</v>
      </c>
      <c r="C180" s="4" t="s">
        <v>117</v>
      </c>
      <c r="D180" s="4" t="s">
        <v>833</v>
      </c>
      <c r="E180" s="4"/>
      <c r="F180" s="4" t="s">
        <v>815</v>
      </c>
      <c r="G180" s="4"/>
      <c r="H180" s="4" t="s">
        <v>35</v>
      </c>
      <c r="I180" s="4"/>
      <c r="J180" s="5"/>
      <c r="K180" s="5"/>
      <c r="L180" s="4"/>
      <c r="M180" s="4" t="s">
        <v>36</v>
      </c>
      <c r="N180" s="4" t="s">
        <v>36</v>
      </c>
      <c r="O180" s="4" t="s">
        <v>53</v>
      </c>
      <c r="P180" s="4"/>
      <c r="Q180" s="4" t="s">
        <v>834</v>
      </c>
      <c r="R180" s="4" t="s">
        <v>835</v>
      </c>
      <c r="S180" s="4"/>
      <c r="T180" s="4"/>
      <c r="U180" s="4" t="s">
        <v>56</v>
      </c>
      <c r="V180" s="6"/>
      <c r="W180" s="4" t="s">
        <v>57</v>
      </c>
    </row>
    <row r="181" customFormat="false" ht="15" hidden="false" customHeight="false" outlineLevel="0" collapsed="false">
      <c r="A181" s="4" t="s">
        <v>836</v>
      </c>
      <c r="B181" s="4" t="s">
        <v>837</v>
      </c>
      <c r="C181" s="4" t="s">
        <v>117</v>
      </c>
      <c r="D181" s="4" t="s">
        <v>838</v>
      </c>
      <c r="E181" s="4"/>
      <c r="F181" s="4" t="s">
        <v>815</v>
      </c>
      <c r="G181" s="4"/>
      <c r="H181" s="4" t="s">
        <v>35</v>
      </c>
      <c r="I181" s="4"/>
      <c r="J181" s="5"/>
      <c r="K181" s="5"/>
      <c r="L181" s="4"/>
      <c r="M181" s="4" t="s">
        <v>36</v>
      </c>
      <c r="N181" s="4" t="s">
        <v>36</v>
      </c>
      <c r="O181" s="4" t="s">
        <v>53</v>
      </c>
      <c r="P181" s="4"/>
      <c r="Q181" s="4" t="s">
        <v>839</v>
      </c>
      <c r="R181" s="4" t="s">
        <v>840</v>
      </c>
      <c r="S181" s="4"/>
      <c r="T181" s="4"/>
      <c r="U181" s="4" t="s">
        <v>56</v>
      </c>
      <c r="V181" s="6"/>
      <c r="W181" s="4" t="s">
        <v>57</v>
      </c>
    </row>
    <row r="182" customFormat="false" ht="15" hidden="false" customHeight="false" outlineLevel="0" collapsed="false">
      <c r="A182" s="4" t="s">
        <v>841</v>
      </c>
      <c r="B182" s="4" t="s">
        <v>842</v>
      </c>
      <c r="C182" s="4" t="s">
        <v>117</v>
      </c>
      <c r="D182" s="4" t="s">
        <v>843</v>
      </c>
      <c r="E182" s="4"/>
      <c r="F182" s="4" t="s">
        <v>815</v>
      </c>
      <c r="G182" s="4"/>
      <c r="H182" s="4" t="s">
        <v>35</v>
      </c>
      <c r="I182" s="4"/>
      <c r="J182" s="5"/>
      <c r="K182" s="5"/>
      <c r="L182" s="4"/>
      <c r="M182" s="4" t="s">
        <v>36</v>
      </c>
      <c r="N182" s="4" t="s">
        <v>36</v>
      </c>
      <c r="O182" s="4" t="s">
        <v>53</v>
      </c>
      <c r="P182" s="4"/>
      <c r="Q182" s="4" t="s">
        <v>844</v>
      </c>
      <c r="R182" s="4" t="s">
        <v>845</v>
      </c>
      <c r="S182" s="4"/>
      <c r="T182" s="4"/>
      <c r="U182" s="4" t="s">
        <v>56</v>
      </c>
      <c r="V182" s="6"/>
      <c r="W182" s="4" t="s">
        <v>57</v>
      </c>
    </row>
    <row r="183" customFormat="false" ht="15" hidden="false" customHeight="false" outlineLevel="0" collapsed="false">
      <c r="A183" s="4" t="s">
        <v>846</v>
      </c>
      <c r="B183" s="4" t="s">
        <v>847</v>
      </c>
      <c r="C183" s="4" t="s">
        <v>117</v>
      </c>
      <c r="D183" s="4" t="s">
        <v>848</v>
      </c>
      <c r="E183" s="4"/>
      <c r="F183" s="4" t="s">
        <v>815</v>
      </c>
      <c r="G183" s="4"/>
      <c r="H183" s="4" t="s">
        <v>35</v>
      </c>
      <c r="I183" s="4"/>
      <c r="J183" s="5"/>
      <c r="K183" s="5"/>
      <c r="L183" s="4"/>
      <c r="M183" s="4" t="s">
        <v>60</v>
      </c>
      <c r="N183" s="4" t="s">
        <v>36</v>
      </c>
      <c r="O183" s="4" t="s">
        <v>53</v>
      </c>
      <c r="P183" s="4"/>
      <c r="Q183" s="4" t="s">
        <v>849</v>
      </c>
      <c r="R183" s="4" t="s">
        <v>850</v>
      </c>
      <c r="S183" s="4"/>
      <c r="T183" s="4"/>
      <c r="U183" s="4" t="s">
        <v>56</v>
      </c>
      <c r="V183" s="6"/>
      <c r="W183" s="4" t="s">
        <v>57</v>
      </c>
    </row>
    <row r="184" customFormat="false" ht="15" hidden="false" customHeight="false" outlineLevel="0" collapsed="false">
      <c r="A184" s="4" t="s">
        <v>851</v>
      </c>
      <c r="B184" s="4" t="s">
        <v>852</v>
      </c>
      <c r="C184" s="4" t="s">
        <v>117</v>
      </c>
      <c r="D184" s="4" t="s">
        <v>853</v>
      </c>
      <c r="E184" s="4"/>
      <c r="F184" s="4" t="s">
        <v>815</v>
      </c>
      <c r="G184" s="4"/>
      <c r="H184" s="4" t="s">
        <v>35</v>
      </c>
      <c r="I184" s="4"/>
      <c r="J184" s="5"/>
      <c r="K184" s="5"/>
      <c r="L184" s="4"/>
      <c r="M184" s="4" t="s">
        <v>60</v>
      </c>
      <c r="N184" s="4" t="s">
        <v>36</v>
      </c>
      <c r="O184" s="4" t="s">
        <v>53</v>
      </c>
      <c r="P184" s="4"/>
      <c r="Q184" s="4" t="s">
        <v>854</v>
      </c>
      <c r="R184" s="4" t="s">
        <v>855</v>
      </c>
      <c r="S184" s="4"/>
      <c r="T184" s="4"/>
      <c r="U184" s="4" t="s">
        <v>56</v>
      </c>
      <c r="V184" s="6"/>
      <c r="W184" s="4" t="s">
        <v>57</v>
      </c>
    </row>
    <row r="185" customFormat="false" ht="15" hidden="false" customHeight="false" outlineLevel="0" collapsed="false">
      <c r="A185" s="4" t="s">
        <v>856</v>
      </c>
      <c r="B185" s="4" t="s">
        <v>857</v>
      </c>
      <c r="C185" s="4" t="s">
        <v>117</v>
      </c>
      <c r="D185" s="4" t="s">
        <v>858</v>
      </c>
      <c r="E185" s="4"/>
      <c r="F185" s="4" t="s">
        <v>815</v>
      </c>
      <c r="G185" s="4"/>
      <c r="H185" s="4" t="s">
        <v>35</v>
      </c>
      <c r="I185" s="4"/>
      <c r="J185" s="5"/>
      <c r="K185" s="5"/>
      <c r="L185" s="4"/>
      <c r="M185" s="4" t="s">
        <v>60</v>
      </c>
      <c r="N185" s="4" t="s">
        <v>36</v>
      </c>
      <c r="O185" s="4" t="s">
        <v>53</v>
      </c>
      <c r="P185" s="4"/>
      <c r="Q185" s="4"/>
      <c r="R185" s="4" t="s">
        <v>859</v>
      </c>
      <c r="S185" s="4"/>
      <c r="T185" s="4"/>
      <c r="U185" s="4" t="s">
        <v>56</v>
      </c>
      <c r="V185" s="6"/>
      <c r="W185" s="4" t="s">
        <v>57</v>
      </c>
    </row>
    <row r="186" customFormat="false" ht="15" hidden="false" customHeight="false" outlineLevel="0" collapsed="false">
      <c r="A186" s="4" t="s">
        <v>860</v>
      </c>
      <c r="B186" s="4" t="s">
        <v>861</v>
      </c>
      <c r="C186" s="4" t="s">
        <v>117</v>
      </c>
      <c r="D186" s="4" t="s">
        <v>862</v>
      </c>
      <c r="E186" s="4"/>
      <c r="F186" s="4" t="s">
        <v>815</v>
      </c>
      <c r="G186" s="4"/>
      <c r="H186" s="4" t="s">
        <v>35</v>
      </c>
      <c r="I186" s="4"/>
      <c r="J186" s="5"/>
      <c r="K186" s="5"/>
      <c r="L186" s="4"/>
      <c r="M186" s="4" t="s">
        <v>60</v>
      </c>
      <c r="N186" s="4" t="s">
        <v>36</v>
      </c>
      <c r="O186" s="4" t="s">
        <v>53</v>
      </c>
      <c r="P186" s="4"/>
      <c r="Q186" s="4"/>
      <c r="R186" s="4" t="s">
        <v>863</v>
      </c>
      <c r="S186" s="4"/>
      <c r="T186" s="4"/>
      <c r="U186" s="4" t="s">
        <v>56</v>
      </c>
      <c r="V186" s="6"/>
      <c r="W186" s="4" t="s">
        <v>57</v>
      </c>
    </row>
    <row r="187" customFormat="false" ht="15" hidden="false" customHeight="false" outlineLevel="0" collapsed="false">
      <c r="A187" s="4" t="s">
        <v>864</v>
      </c>
      <c r="B187" s="4" t="s">
        <v>865</v>
      </c>
      <c r="C187" s="4" t="s">
        <v>117</v>
      </c>
      <c r="D187" s="4" t="s">
        <v>866</v>
      </c>
      <c r="E187" s="4"/>
      <c r="F187" s="4" t="s">
        <v>815</v>
      </c>
      <c r="G187" s="4"/>
      <c r="H187" s="4" t="s">
        <v>35</v>
      </c>
      <c r="I187" s="4"/>
      <c r="J187" s="5"/>
      <c r="K187" s="5"/>
      <c r="L187" s="4"/>
      <c r="M187" s="4" t="s">
        <v>60</v>
      </c>
      <c r="N187" s="4" t="s">
        <v>36</v>
      </c>
      <c r="O187" s="4" t="s">
        <v>53</v>
      </c>
      <c r="P187" s="4"/>
      <c r="Q187" s="4" t="s">
        <v>867</v>
      </c>
      <c r="R187" s="4" t="s">
        <v>868</v>
      </c>
      <c r="S187" s="4"/>
      <c r="T187" s="4"/>
      <c r="U187" s="4" t="s">
        <v>56</v>
      </c>
      <c r="V187" s="6"/>
      <c r="W187" s="4" t="s">
        <v>57</v>
      </c>
    </row>
    <row r="188" customFormat="false" ht="15" hidden="false" customHeight="false" outlineLevel="0" collapsed="false">
      <c r="A188" s="4" t="s">
        <v>869</v>
      </c>
      <c r="B188" s="4" t="s">
        <v>870</v>
      </c>
      <c r="C188" s="4" t="s">
        <v>117</v>
      </c>
      <c r="D188" s="4" t="s">
        <v>871</v>
      </c>
      <c r="E188" s="4"/>
      <c r="F188" s="4" t="s">
        <v>815</v>
      </c>
      <c r="G188" s="4"/>
      <c r="H188" s="4" t="s">
        <v>35</v>
      </c>
      <c r="I188" s="4"/>
      <c r="J188" s="5"/>
      <c r="K188" s="5"/>
      <c r="L188" s="4"/>
      <c r="M188" s="4" t="s">
        <v>60</v>
      </c>
      <c r="N188" s="4" t="s">
        <v>36</v>
      </c>
      <c r="O188" s="4" t="s">
        <v>53</v>
      </c>
      <c r="P188" s="4"/>
      <c r="Q188" s="4" t="s">
        <v>872</v>
      </c>
      <c r="R188" s="4" t="s">
        <v>873</v>
      </c>
      <c r="S188" s="4"/>
      <c r="T188" s="4"/>
      <c r="U188" s="4" t="s">
        <v>56</v>
      </c>
      <c r="V188" s="6"/>
      <c r="W188" s="4" t="s">
        <v>57</v>
      </c>
    </row>
    <row r="189" customFormat="false" ht="15" hidden="false" customHeight="false" outlineLevel="0" collapsed="false">
      <c r="A189" s="4" t="s">
        <v>874</v>
      </c>
      <c r="B189" s="4" t="s">
        <v>875</v>
      </c>
      <c r="C189" s="4" t="s">
        <v>117</v>
      </c>
      <c r="D189" s="4" t="s">
        <v>876</v>
      </c>
      <c r="E189" s="4"/>
      <c r="F189" s="4" t="s">
        <v>815</v>
      </c>
      <c r="G189" s="4"/>
      <c r="H189" s="4" t="s">
        <v>35</v>
      </c>
      <c r="I189" s="4"/>
      <c r="J189" s="5"/>
      <c r="K189" s="5"/>
      <c r="L189" s="4"/>
      <c r="M189" s="4" t="s">
        <v>60</v>
      </c>
      <c r="N189" s="4" t="s">
        <v>36</v>
      </c>
      <c r="O189" s="4" t="s">
        <v>53</v>
      </c>
      <c r="P189" s="4"/>
      <c r="Q189" s="4"/>
      <c r="R189" s="4" t="s">
        <v>877</v>
      </c>
      <c r="S189" s="4"/>
      <c r="T189" s="4"/>
      <c r="U189" s="4" t="s">
        <v>56</v>
      </c>
      <c r="V189" s="6"/>
      <c r="W189" s="4" t="s">
        <v>57</v>
      </c>
    </row>
    <row r="190" customFormat="false" ht="15" hidden="false" customHeight="false" outlineLevel="0" collapsed="false">
      <c r="A190" s="4" t="s">
        <v>878</v>
      </c>
      <c r="B190" s="4" t="s">
        <v>879</v>
      </c>
      <c r="C190" s="4" t="s">
        <v>117</v>
      </c>
      <c r="D190" s="4" t="s">
        <v>880</v>
      </c>
      <c r="E190" s="4"/>
      <c r="F190" s="4" t="s">
        <v>815</v>
      </c>
      <c r="G190" s="4"/>
      <c r="H190" s="4" t="s">
        <v>35</v>
      </c>
      <c r="I190" s="4"/>
      <c r="J190" s="5"/>
      <c r="K190" s="5"/>
      <c r="L190" s="4"/>
      <c r="M190" s="4" t="s">
        <v>60</v>
      </c>
      <c r="N190" s="4" t="s">
        <v>36</v>
      </c>
      <c r="O190" s="4" t="s">
        <v>53</v>
      </c>
      <c r="P190" s="4"/>
      <c r="Q190" s="4" t="s">
        <v>881</v>
      </c>
      <c r="R190" s="4" t="s">
        <v>882</v>
      </c>
      <c r="S190" s="4"/>
      <c r="T190" s="4"/>
      <c r="U190" s="4" t="s">
        <v>56</v>
      </c>
      <c r="V190" s="6"/>
      <c r="W190" s="4" t="s">
        <v>57</v>
      </c>
    </row>
    <row r="191" customFormat="false" ht="15" hidden="false" customHeight="false" outlineLevel="0" collapsed="false">
      <c r="A191" s="4" t="s">
        <v>883</v>
      </c>
      <c r="B191" s="4" t="s">
        <v>884</v>
      </c>
      <c r="C191" s="4" t="s">
        <v>117</v>
      </c>
      <c r="D191" s="4" t="s">
        <v>885</v>
      </c>
      <c r="E191" s="4"/>
      <c r="F191" s="4" t="s">
        <v>815</v>
      </c>
      <c r="G191" s="4"/>
      <c r="H191" s="4" t="s">
        <v>35</v>
      </c>
      <c r="I191" s="4"/>
      <c r="J191" s="5"/>
      <c r="K191" s="5"/>
      <c r="L191" s="4"/>
      <c r="M191" s="4" t="s">
        <v>60</v>
      </c>
      <c r="N191" s="4" t="s">
        <v>36</v>
      </c>
      <c r="O191" s="4" t="s">
        <v>53</v>
      </c>
      <c r="P191" s="4"/>
      <c r="Q191" s="4" t="s">
        <v>886</v>
      </c>
      <c r="R191" s="4" t="s">
        <v>887</v>
      </c>
      <c r="S191" s="4"/>
      <c r="T191" s="4"/>
      <c r="U191" s="4" t="s">
        <v>56</v>
      </c>
      <c r="V191" s="6"/>
      <c r="W191" s="4" t="s">
        <v>57</v>
      </c>
    </row>
    <row r="192" customFormat="false" ht="15" hidden="false" customHeight="false" outlineLevel="0" collapsed="false">
      <c r="A192" s="4" t="s">
        <v>888</v>
      </c>
      <c r="B192" s="4" t="s">
        <v>889</v>
      </c>
      <c r="C192" s="4" t="s">
        <v>117</v>
      </c>
      <c r="D192" s="4" t="s">
        <v>890</v>
      </c>
      <c r="E192" s="4"/>
      <c r="F192" s="4" t="s">
        <v>815</v>
      </c>
      <c r="G192" s="4"/>
      <c r="H192" s="4" t="s">
        <v>35</v>
      </c>
      <c r="I192" s="4"/>
      <c r="J192" s="5"/>
      <c r="K192" s="5"/>
      <c r="L192" s="4"/>
      <c r="M192" s="4" t="s">
        <v>60</v>
      </c>
      <c r="N192" s="4" t="s">
        <v>36</v>
      </c>
      <c r="O192" s="4" t="s">
        <v>53</v>
      </c>
      <c r="P192" s="4"/>
      <c r="Q192" s="4"/>
      <c r="R192" s="4" t="s">
        <v>891</v>
      </c>
      <c r="S192" s="4"/>
      <c r="T192" s="4"/>
      <c r="U192" s="4" t="s">
        <v>56</v>
      </c>
      <c r="V192" s="6"/>
      <c r="W192" s="4" t="s">
        <v>57</v>
      </c>
    </row>
    <row r="193" customFormat="false" ht="15" hidden="false" customHeight="false" outlineLevel="0" collapsed="false">
      <c r="A193" s="4" t="s">
        <v>892</v>
      </c>
      <c r="B193" s="4" t="s">
        <v>893</v>
      </c>
      <c r="C193" s="4" t="s">
        <v>117</v>
      </c>
      <c r="D193" s="4" t="s">
        <v>894</v>
      </c>
      <c r="E193" s="4"/>
      <c r="F193" s="4" t="s">
        <v>815</v>
      </c>
      <c r="G193" s="4"/>
      <c r="H193" s="4" t="s">
        <v>35</v>
      </c>
      <c r="I193" s="4"/>
      <c r="J193" s="5"/>
      <c r="K193" s="5"/>
      <c r="L193" s="4"/>
      <c r="M193" s="4" t="s">
        <v>60</v>
      </c>
      <c r="N193" s="4" t="s">
        <v>36</v>
      </c>
      <c r="O193" s="4" t="s">
        <v>53</v>
      </c>
      <c r="P193" s="4"/>
      <c r="Q193" s="4" t="s">
        <v>895</v>
      </c>
      <c r="R193" s="4" t="s">
        <v>896</v>
      </c>
      <c r="S193" s="4"/>
      <c r="T193" s="4"/>
      <c r="U193" s="4" t="s">
        <v>56</v>
      </c>
      <c r="V193" s="6"/>
      <c r="W193" s="4" t="s">
        <v>57</v>
      </c>
    </row>
    <row r="194" customFormat="false" ht="15" hidden="false" customHeight="false" outlineLevel="0" collapsed="false">
      <c r="A194" s="4" t="s">
        <v>897</v>
      </c>
      <c r="B194" s="4" t="s">
        <v>898</v>
      </c>
      <c r="C194" s="4" t="s">
        <v>111</v>
      </c>
      <c r="D194" s="4" t="s">
        <v>899</v>
      </c>
      <c r="E194" s="4"/>
      <c r="F194" s="4" t="s">
        <v>900</v>
      </c>
      <c r="G194" s="4"/>
      <c r="H194" s="4" t="s">
        <v>35</v>
      </c>
      <c r="I194" s="4"/>
      <c r="J194" s="5"/>
      <c r="K194" s="5"/>
      <c r="L194" s="4"/>
      <c r="M194" s="4" t="s">
        <v>36</v>
      </c>
      <c r="N194" s="4" t="s">
        <v>36</v>
      </c>
      <c r="O194" s="4" t="s">
        <v>53</v>
      </c>
      <c r="P194" s="4"/>
      <c r="Q194" s="4" t="s">
        <v>901</v>
      </c>
      <c r="R194" s="4" t="s">
        <v>902</v>
      </c>
      <c r="S194" s="4"/>
      <c r="T194" s="4"/>
      <c r="U194" s="4" t="s">
        <v>56</v>
      </c>
      <c r="V194" s="6"/>
      <c r="W194" s="4" t="s">
        <v>57</v>
      </c>
    </row>
    <row r="195" customFormat="false" ht="15" hidden="false" customHeight="false" outlineLevel="0" collapsed="false">
      <c r="A195" s="4" t="s">
        <v>903</v>
      </c>
      <c r="B195" s="4" t="s">
        <v>904</v>
      </c>
      <c r="C195" s="4" t="s">
        <v>117</v>
      </c>
      <c r="D195" s="4" t="s">
        <v>905</v>
      </c>
      <c r="E195" s="4"/>
      <c r="F195" s="4" t="s">
        <v>900</v>
      </c>
      <c r="G195" s="4"/>
      <c r="H195" s="4" t="s">
        <v>35</v>
      </c>
      <c r="I195" s="4"/>
      <c r="J195" s="5"/>
      <c r="K195" s="5"/>
      <c r="L195" s="4"/>
      <c r="M195" s="4" t="s">
        <v>36</v>
      </c>
      <c r="N195" s="4" t="s">
        <v>36</v>
      </c>
      <c r="O195" s="4" t="s">
        <v>53</v>
      </c>
      <c r="P195" s="4"/>
      <c r="Q195" s="4" t="s">
        <v>906</v>
      </c>
      <c r="R195" s="4" t="s">
        <v>907</v>
      </c>
      <c r="S195" s="4"/>
      <c r="T195" s="4"/>
      <c r="U195" s="4" t="s">
        <v>56</v>
      </c>
      <c r="V195" s="6"/>
      <c r="W195" s="4" t="s">
        <v>57</v>
      </c>
    </row>
    <row r="196" customFormat="false" ht="15" hidden="false" customHeight="false" outlineLevel="0" collapsed="false">
      <c r="A196" s="4" t="s">
        <v>908</v>
      </c>
      <c r="B196" s="4" t="s">
        <v>909</v>
      </c>
      <c r="C196" s="4" t="s">
        <v>32</v>
      </c>
      <c r="D196" s="4" t="s">
        <v>910</v>
      </c>
      <c r="E196" s="4"/>
      <c r="F196" s="4" t="s">
        <v>900</v>
      </c>
      <c r="G196" s="4"/>
      <c r="H196" s="4" t="s">
        <v>35</v>
      </c>
      <c r="I196" s="4"/>
      <c r="J196" s="5"/>
      <c r="K196" s="5"/>
      <c r="L196" s="4"/>
      <c r="M196" s="4" t="s">
        <v>36</v>
      </c>
      <c r="N196" s="4" t="s">
        <v>36</v>
      </c>
      <c r="O196" s="4" t="s">
        <v>53</v>
      </c>
      <c r="P196" s="4"/>
      <c r="Q196" s="4" t="s">
        <v>911</v>
      </c>
      <c r="R196" s="4" t="s">
        <v>912</v>
      </c>
      <c r="S196" s="4"/>
      <c r="T196" s="4"/>
      <c r="U196" s="4" t="s">
        <v>56</v>
      </c>
      <c r="V196" s="6"/>
      <c r="W196" s="4" t="s">
        <v>57</v>
      </c>
    </row>
    <row r="197" customFormat="false" ht="15" hidden="false" customHeight="false" outlineLevel="0" collapsed="false">
      <c r="A197" s="4" t="s">
        <v>913</v>
      </c>
      <c r="B197" s="4" t="s">
        <v>914</v>
      </c>
      <c r="C197" s="4" t="s">
        <v>32</v>
      </c>
      <c r="D197" s="4" t="s">
        <v>915</v>
      </c>
      <c r="E197" s="4"/>
      <c r="F197" s="4" t="s">
        <v>900</v>
      </c>
      <c r="G197" s="4"/>
      <c r="H197" s="4" t="s">
        <v>35</v>
      </c>
      <c r="I197" s="4"/>
      <c r="J197" s="5"/>
      <c r="K197" s="5"/>
      <c r="L197" s="4"/>
      <c r="M197" s="4" t="s">
        <v>36</v>
      </c>
      <c r="N197" s="4" t="s">
        <v>36</v>
      </c>
      <c r="O197" s="4" t="s">
        <v>53</v>
      </c>
      <c r="P197" s="4"/>
      <c r="Q197" s="4" t="s">
        <v>916</v>
      </c>
      <c r="R197" s="4" t="s">
        <v>917</v>
      </c>
      <c r="S197" s="4"/>
      <c r="T197" s="4"/>
      <c r="U197" s="4" t="s">
        <v>56</v>
      </c>
      <c r="V197" s="6"/>
      <c r="W197" s="4" t="s">
        <v>57</v>
      </c>
    </row>
    <row r="198" customFormat="false" ht="15" hidden="false" customHeight="false" outlineLevel="0" collapsed="false">
      <c r="A198" s="4" t="s">
        <v>918</v>
      </c>
      <c r="B198" s="4" t="s">
        <v>919</v>
      </c>
      <c r="C198" s="4" t="s">
        <v>117</v>
      </c>
      <c r="D198" s="4" t="s">
        <v>920</v>
      </c>
      <c r="E198" s="4"/>
      <c r="F198" s="4" t="s">
        <v>900</v>
      </c>
      <c r="G198" s="4"/>
      <c r="H198" s="4" t="s">
        <v>35</v>
      </c>
      <c r="I198" s="4"/>
      <c r="J198" s="5"/>
      <c r="K198" s="5"/>
      <c r="L198" s="4"/>
      <c r="M198" s="4" t="s">
        <v>36</v>
      </c>
      <c r="N198" s="4" t="s">
        <v>36</v>
      </c>
      <c r="O198" s="4" t="s">
        <v>53</v>
      </c>
      <c r="P198" s="4"/>
      <c r="Q198" s="4" t="s">
        <v>921</v>
      </c>
      <c r="R198" s="4" t="s">
        <v>922</v>
      </c>
      <c r="S198" s="4"/>
      <c r="T198" s="4"/>
      <c r="U198" s="4" t="s">
        <v>56</v>
      </c>
      <c r="V198" s="6"/>
      <c r="W198" s="4" t="s">
        <v>57</v>
      </c>
    </row>
    <row r="199" customFormat="false" ht="15" hidden="false" customHeight="false" outlineLevel="0" collapsed="false">
      <c r="A199" s="4" t="s">
        <v>923</v>
      </c>
      <c r="B199" s="4" t="s">
        <v>924</v>
      </c>
      <c r="C199" s="4" t="s">
        <v>117</v>
      </c>
      <c r="D199" s="4" t="s">
        <v>925</v>
      </c>
      <c r="E199" s="4"/>
      <c r="F199" s="4" t="s">
        <v>900</v>
      </c>
      <c r="G199" s="4"/>
      <c r="H199" s="4" t="s">
        <v>35</v>
      </c>
      <c r="I199" s="4"/>
      <c r="J199" s="5"/>
      <c r="K199" s="5"/>
      <c r="L199" s="4"/>
      <c r="M199" s="4" t="s">
        <v>60</v>
      </c>
      <c r="N199" s="4" t="s">
        <v>36</v>
      </c>
      <c r="O199" s="4" t="s">
        <v>53</v>
      </c>
      <c r="P199" s="4"/>
      <c r="Q199" s="4"/>
      <c r="R199" s="4" t="s">
        <v>926</v>
      </c>
      <c r="S199" s="4"/>
      <c r="T199" s="4"/>
      <c r="U199" s="4" t="s">
        <v>56</v>
      </c>
      <c r="V199" s="6"/>
      <c r="W199" s="4" t="s">
        <v>57</v>
      </c>
    </row>
    <row r="200" customFormat="false" ht="15" hidden="false" customHeight="false" outlineLevel="0" collapsed="false">
      <c r="A200" s="4" t="s">
        <v>927</v>
      </c>
      <c r="B200" s="4" t="s">
        <v>928</v>
      </c>
      <c r="C200" s="4" t="s">
        <v>117</v>
      </c>
      <c r="D200" s="4" t="s">
        <v>929</v>
      </c>
      <c r="E200" s="4"/>
      <c r="F200" s="4" t="s">
        <v>900</v>
      </c>
      <c r="G200" s="4"/>
      <c r="H200" s="4" t="s">
        <v>35</v>
      </c>
      <c r="I200" s="4"/>
      <c r="J200" s="5"/>
      <c r="K200" s="5"/>
      <c r="L200" s="4"/>
      <c r="M200" s="4" t="s">
        <v>60</v>
      </c>
      <c r="N200" s="4" t="s">
        <v>36</v>
      </c>
      <c r="O200" s="4" t="s">
        <v>53</v>
      </c>
      <c r="P200" s="4"/>
      <c r="Q200" s="4" t="s">
        <v>930</v>
      </c>
      <c r="R200" s="4" t="s">
        <v>931</v>
      </c>
      <c r="S200" s="4"/>
      <c r="T200" s="4"/>
      <c r="U200" s="4" t="s">
        <v>56</v>
      </c>
      <c r="V200" s="6"/>
      <c r="W200" s="4" t="s">
        <v>57</v>
      </c>
    </row>
    <row r="201" customFormat="false" ht="15" hidden="false" customHeight="false" outlineLevel="0" collapsed="false">
      <c r="A201" s="4" t="s">
        <v>932</v>
      </c>
      <c r="B201" s="4" t="s">
        <v>933</v>
      </c>
      <c r="C201" s="4" t="s">
        <v>117</v>
      </c>
      <c r="D201" s="4" t="s">
        <v>934</v>
      </c>
      <c r="E201" s="4"/>
      <c r="F201" s="4" t="s">
        <v>900</v>
      </c>
      <c r="G201" s="4"/>
      <c r="H201" s="4" t="s">
        <v>35</v>
      </c>
      <c r="I201" s="4"/>
      <c r="J201" s="5"/>
      <c r="K201" s="5"/>
      <c r="L201" s="4"/>
      <c r="M201" s="4" t="s">
        <v>60</v>
      </c>
      <c r="N201" s="4" t="s">
        <v>36</v>
      </c>
      <c r="O201" s="4" t="s">
        <v>53</v>
      </c>
      <c r="P201" s="4"/>
      <c r="Q201" s="4"/>
      <c r="R201" s="4" t="s">
        <v>935</v>
      </c>
      <c r="S201" s="4"/>
      <c r="T201" s="4"/>
      <c r="U201" s="4" t="s">
        <v>56</v>
      </c>
      <c r="V201" s="6"/>
      <c r="W201" s="4" t="s">
        <v>57</v>
      </c>
    </row>
    <row r="202" customFormat="false" ht="15" hidden="false" customHeight="false" outlineLevel="0" collapsed="false">
      <c r="A202" s="4" t="s">
        <v>936</v>
      </c>
      <c r="B202" s="4" t="s">
        <v>937</v>
      </c>
      <c r="C202" s="4" t="s">
        <v>117</v>
      </c>
      <c r="D202" s="4" t="s">
        <v>938</v>
      </c>
      <c r="E202" s="4"/>
      <c r="F202" s="4" t="s">
        <v>900</v>
      </c>
      <c r="G202" s="4"/>
      <c r="H202" s="4" t="s">
        <v>35</v>
      </c>
      <c r="I202" s="4"/>
      <c r="J202" s="5"/>
      <c r="K202" s="5"/>
      <c r="L202" s="4"/>
      <c r="M202" s="4" t="s">
        <v>60</v>
      </c>
      <c r="N202" s="4" t="s">
        <v>36</v>
      </c>
      <c r="O202" s="4" t="s">
        <v>53</v>
      </c>
      <c r="P202" s="4"/>
      <c r="Q202" s="4"/>
      <c r="R202" s="4" t="s">
        <v>939</v>
      </c>
      <c r="S202" s="4"/>
      <c r="T202" s="4"/>
      <c r="U202" s="4" t="s">
        <v>56</v>
      </c>
      <c r="V202" s="6"/>
      <c r="W202" s="4" t="s">
        <v>57</v>
      </c>
    </row>
    <row r="203" customFormat="false" ht="15" hidden="false" customHeight="false" outlineLevel="0" collapsed="false">
      <c r="A203" s="4" t="s">
        <v>940</v>
      </c>
      <c r="B203" s="4" t="s">
        <v>941</v>
      </c>
      <c r="C203" s="4" t="s">
        <v>117</v>
      </c>
      <c r="D203" s="4" t="s">
        <v>942</v>
      </c>
      <c r="E203" s="4"/>
      <c r="F203" s="4" t="s">
        <v>900</v>
      </c>
      <c r="G203" s="4"/>
      <c r="H203" s="4" t="s">
        <v>35</v>
      </c>
      <c r="I203" s="4"/>
      <c r="J203" s="5"/>
      <c r="K203" s="5"/>
      <c r="L203" s="4"/>
      <c r="M203" s="4" t="s">
        <v>60</v>
      </c>
      <c r="N203" s="4" t="s">
        <v>36</v>
      </c>
      <c r="O203" s="4" t="s">
        <v>53</v>
      </c>
      <c r="P203" s="4"/>
      <c r="Q203" s="4" t="s">
        <v>943</v>
      </c>
      <c r="R203" s="4" t="s">
        <v>944</v>
      </c>
      <c r="S203" s="4"/>
      <c r="T203" s="4"/>
      <c r="U203" s="4" t="s">
        <v>56</v>
      </c>
      <c r="V203" s="6"/>
      <c r="W203" s="4" t="s">
        <v>57</v>
      </c>
    </row>
    <row r="204" customFormat="false" ht="15" hidden="false" customHeight="false" outlineLevel="0" collapsed="false">
      <c r="A204" s="4" t="s">
        <v>945</v>
      </c>
      <c r="B204" s="4" t="s">
        <v>946</v>
      </c>
      <c r="C204" s="4" t="s">
        <v>117</v>
      </c>
      <c r="D204" s="4" t="s">
        <v>947</v>
      </c>
      <c r="E204" s="4"/>
      <c r="F204" s="4" t="s">
        <v>900</v>
      </c>
      <c r="G204" s="4"/>
      <c r="H204" s="4" t="s">
        <v>35</v>
      </c>
      <c r="I204" s="4"/>
      <c r="J204" s="5"/>
      <c r="K204" s="5"/>
      <c r="L204" s="4"/>
      <c r="M204" s="4" t="s">
        <v>60</v>
      </c>
      <c r="N204" s="4" t="s">
        <v>36</v>
      </c>
      <c r="O204" s="4" t="s">
        <v>53</v>
      </c>
      <c r="P204" s="4"/>
      <c r="Q204" s="4"/>
      <c r="R204" s="4" t="s">
        <v>948</v>
      </c>
      <c r="S204" s="4"/>
      <c r="T204" s="4"/>
      <c r="U204" s="4" t="s">
        <v>56</v>
      </c>
      <c r="V204" s="6"/>
      <c r="W204" s="4" t="s">
        <v>57</v>
      </c>
    </row>
    <row r="205" customFormat="false" ht="15" hidden="false" customHeight="false" outlineLevel="0" collapsed="false">
      <c r="A205" s="4" t="s">
        <v>949</v>
      </c>
      <c r="B205" s="4" t="s">
        <v>950</v>
      </c>
      <c r="C205" s="4" t="s">
        <v>117</v>
      </c>
      <c r="D205" s="4" t="s">
        <v>951</v>
      </c>
      <c r="E205" s="4"/>
      <c r="F205" s="4" t="s">
        <v>900</v>
      </c>
      <c r="G205" s="4"/>
      <c r="H205" s="4" t="s">
        <v>35</v>
      </c>
      <c r="I205" s="4"/>
      <c r="J205" s="5"/>
      <c r="K205" s="5"/>
      <c r="L205" s="4"/>
      <c r="M205" s="4" t="s">
        <v>60</v>
      </c>
      <c r="N205" s="4" t="s">
        <v>36</v>
      </c>
      <c r="O205" s="4" t="s">
        <v>53</v>
      </c>
      <c r="P205" s="4"/>
      <c r="Q205" s="4"/>
      <c r="R205" s="4" t="s">
        <v>952</v>
      </c>
      <c r="S205" s="4"/>
      <c r="T205" s="4"/>
      <c r="U205" s="4" t="s">
        <v>56</v>
      </c>
      <c r="V205" s="6"/>
      <c r="W205" s="4" t="s">
        <v>57</v>
      </c>
    </row>
    <row r="206" customFormat="false" ht="15" hidden="false" customHeight="false" outlineLevel="0" collapsed="false">
      <c r="A206" s="4" t="s">
        <v>953</v>
      </c>
      <c r="B206" s="4" t="s">
        <v>954</v>
      </c>
      <c r="C206" s="4" t="s">
        <v>117</v>
      </c>
      <c r="D206" s="4" t="s">
        <v>955</v>
      </c>
      <c r="E206" s="4"/>
      <c r="F206" s="4" t="s">
        <v>900</v>
      </c>
      <c r="G206" s="4"/>
      <c r="H206" s="4" t="s">
        <v>35</v>
      </c>
      <c r="I206" s="4"/>
      <c r="J206" s="5"/>
      <c r="K206" s="5"/>
      <c r="L206" s="4"/>
      <c r="M206" s="4" t="s">
        <v>60</v>
      </c>
      <c r="N206" s="4" t="s">
        <v>36</v>
      </c>
      <c r="O206" s="4" t="s">
        <v>53</v>
      </c>
      <c r="P206" s="4"/>
      <c r="Q206" s="4"/>
      <c r="R206" s="4" t="s">
        <v>956</v>
      </c>
      <c r="S206" s="4"/>
      <c r="T206" s="4"/>
      <c r="U206" s="4" t="s">
        <v>56</v>
      </c>
      <c r="V206" s="6"/>
      <c r="W206" s="4" t="s">
        <v>57</v>
      </c>
    </row>
    <row r="207" customFormat="false" ht="15" hidden="false" customHeight="false" outlineLevel="0" collapsed="false">
      <c r="A207" s="4" t="s">
        <v>957</v>
      </c>
      <c r="B207" s="4" t="s">
        <v>958</v>
      </c>
      <c r="C207" s="4" t="s">
        <v>117</v>
      </c>
      <c r="D207" s="4" t="s">
        <v>959</v>
      </c>
      <c r="E207" s="4"/>
      <c r="F207" s="4" t="s">
        <v>900</v>
      </c>
      <c r="G207" s="4"/>
      <c r="H207" s="4" t="s">
        <v>35</v>
      </c>
      <c r="I207" s="4"/>
      <c r="J207" s="5"/>
      <c r="K207" s="5"/>
      <c r="L207" s="4"/>
      <c r="M207" s="4" t="s">
        <v>60</v>
      </c>
      <c r="N207" s="4" t="s">
        <v>36</v>
      </c>
      <c r="O207" s="4" t="s">
        <v>53</v>
      </c>
      <c r="P207" s="4"/>
      <c r="Q207" s="4"/>
      <c r="R207" s="4" t="s">
        <v>960</v>
      </c>
      <c r="S207" s="4"/>
      <c r="T207" s="4"/>
      <c r="U207" s="4" t="s">
        <v>56</v>
      </c>
      <c r="V207" s="6"/>
      <c r="W207" s="4" t="s">
        <v>57</v>
      </c>
    </row>
    <row r="208" customFormat="false" ht="15" hidden="false" customHeight="false" outlineLevel="0" collapsed="false">
      <c r="A208" s="4" t="s">
        <v>961</v>
      </c>
      <c r="B208" s="4" t="s">
        <v>962</v>
      </c>
      <c r="C208" s="4" t="s">
        <v>320</v>
      </c>
      <c r="D208" s="4" t="s">
        <v>963</v>
      </c>
      <c r="E208" s="4"/>
      <c r="F208" s="4" t="s">
        <v>964</v>
      </c>
      <c r="G208" s="4"/>
      <c r="H208" s="4" t="s">
        <v>35</v>
      </c>
      <c r="I208" s="4"/>
      <c r="J208" s="5"/>
      <c r="K208" s="5"/>
      <c r="L208" s="4"/>
      <c r="M208" s="4" t="s">
        <v>36</v>
      </c>
      <c r="N208" s="4" t="s">
        <v>36</v>
      </c>
      <c r="O208" s="4" t="s">
        <v>53</v>
      </c>
      <c r="P208" s="4"/>
      <c r="Q208" s="4" t="s">
        <v>965</v>
      </c>
      <c r="R208" s="4" t="s">
        <v>966</v>
      </c>
      <c r="S208" s="4"/>
      <c r="T208" s="4"/>
      <c r="U208" s="4" t="s">
        <v>56</v>
      </c>
      <c r="V208" s="6"/>
      <c r="W208" s="4" t="s">
        <v>57</v>
      </c>
    </row>
    <row r="209" customFormat="false" ht="15" hidden="false" customHeight="false" outlineLevel="0" collapsed="false">
      <c r="A209" s="4" t="s">
        <v>967</v>
      </c>
      <c r="B209" s="4" t="s">
        <v>968</v>
      </c>
      <c r="C209" s="4" t="s">
        <v>32</v>
      </c>
      <c r="D209" s="4" t="s">
        <v>969</v>
      </c>
      <c r="E209" s="4"/>
      <c r="F209" s="4" t="s">
        <v>964</v>
      </c>
      <c r="G209" s="4"/>
      <c r="H209" s="4" t="s">
        <v>35</v>
      </c>
      <c r="I209" s="4"/>
      <c r="J209" s="5"/>
      <c r="K209" s="5"/>
      <c r="L209" s="4"/>
      <c r="M209" s="4" t="s">
        <v>36</v>
      </c>
      <c r="N209" s="4" t="s">
        <v>36</v>
      </c>
      <c r="O209" s="4" t="s">
        <v>53</v>
      </c>
      <c r="P209" s="4"/>
      <c r="Q209" s="4" t="s">
        <v>970</v>
      </c>
      <c r="R209" s="4" t="s">
        <v>971</v>
      </c>
      <c r="S209" s="4"/>
      <c r="T209" s="4"/>
      <c r="U209" s="4" t="s">
        <v>56</v>
      </c>
      <c r="V209" s="6"/>
      <c r="W209" s="4" t="s">
        <v>57</v>
      </c>
    </row>
    <row r="210" customFormat="false" ht="15" hidden="false" customHeight="false" outlineLevel="0" collapsed="false">
      <c r="A210" s="4" t="s">
        <v>972</v>
      </c>
      <c r="B210" s="4" t="s">
        <v>973</v>
      </c>
      <c r="C210" s="4" t="s">
        <v>32</v>
      </c>
      <c r="D210" s="4" t="s">
        <v>969</v>
      </c>
      <c r="E210" s="4"/>
      <c r="F210" s="4" t="s">
        <v>964</v>
      </c>
      <c r="G210" s="4"/>
      <c r="H210" s="4" t="s">
        <v>35</v>
      </c>
      <c r="I210" s="4"/>
      <c r="J210" s="5"/>
      <c r="K210" s="5"/>
      <c r="L210" s="4"/>
      <c r="M210" s="4" t="s">
        <v>36</v>
      </c>
      <c r="N210" s="4" t="s">
        <v>36</v>
      </c>
      <c r="O210" s="4" t="s">
        <v>53</v>
      </c>
      <c r="P210" s="4"/>
      <c r="Q210" s="4" t="s">
        <v>974</v>
      </c>
      <c r="R210" s="4" t="s">
        <v>975</v>
      </c>
      <c r="S210" s="4"/>
      <c r="T210" s="4"/>
      <c r="U210" s="4" t="s">
        <v>56</v>
      </c>
      <c r="V210" s="6"/>
      <c r="W210" s="4" t="s">
        <v>57</v>
      </c>
    </row>
    <row r="211" customFormat="false" ht="15" hidden="false" customHeight="false" outlineLevel="0" collapsed="false">
      <c r="A211" s="4" t="s">
        <v>976</v>
      </c>
      <c r="B211" s="4" t="s">
        <v>977</v>
      </c>
      <c r="C211" s="4" t="s">
        <v>320</v>
      </c>
      <c r="D211" s="4" t="s">
        <v>978</v>
      </c>
      <c r="E211" s="4"/>
      <c r="F211" s="4" t="s">
        <v>964</v>
      </c>
      <c r="G211" s="4"/>
      <c r="H211" s="4" t="s">
        <v>35</v>
      </c>
      <c r="I211" s="4"/>
      <c r="J211" s="5"/>
      <c r="K211" s="5"/>
      <c r="L211" s="4"/>
      <c r="M211" s="4" t="s">
        <v>36</v>
      </c>
      <c r="N211" s="4" t="s">
        <v>36</v>
      </c>
      <c r="O211" s="4" t="s">
        <v>53</v>
      </c>
      <c r="P211" s="4"/>
      <c r="Q211" s="4" t="s">
        <v>979</v>
      </c>
      <c r="R211" s="4" t="s">
        <v>980</v>
      </c>
      <c r="S211" s="4"/>
      <c r="T211" s="4"/>
      <c r="U211" s="4" t="s">
        <v>56</v>
      </c>
      <c r="V211" s="6"/>
      <c r="W211" s="4" t="s">
        <v>57</v>
      </c>
    </row>
    <row r="212" customFormat="false" ht="15" hidden="false" customHeight="false" outlineLevel="0" collapsed="false">
      <c r="A212" s="4" t="s">
        <v>981</v>
      </c>
      <c r="B212" s="4" t="s">
        <v>982</v>
      </c>
      <c r="C212" s="4" t="s">
        <v>117</v>
      </c>
      <c r="D212" s="4" t="s">
        <v>983</v>
      </c>
      <c r="E212" s="4"/>
      <c r="F212" s="4" t="s">
        <v>964</v>
      </c>
      <c r="G212" s="4"/>
      <c r="H212" s="4" t="s">
        <v>35</v>
      </c>
      <c r="I212" s="4"/>
      <c r="J212" s="5"/>
      <c r="K212" s="5"/>
      <c r="L212" s="4"/>
      <c r="M212" s="4" t="s">
        <v>36</v>
      </c>
      <c r="N212" s="4" t="s">
        <v>36</v>
      </c>
      <c r="O212" s="4" t="s">
        <v>53</v>
      </c>
      <c r="P212" s="4"/>
      <c r="Q212" s="4" t="s">
        <v>984</v>
      </c>
      <c r="R212" s="4" t="s">
        <v>985</v>
      </c>
      <c r="S212" s="4"/>
      <c r="T212" s="4"/>
      <c r="U212" s="4" t="s">
        <v>56</v>
      </c>
      <c r="V212" s="6"/>
      <c r="W212" s="4" t="s">
        <v>57</v>
      </c>
    </row>
    <row r="213" customFormat="false" ht="15" hidden="false" customHeight="false" outlineLevel="0" collapsed="false">
      <c r="A213" s="4" t="s">
        <v>986</v>
      </c>
      <c r="B213" s="4" t="s">
        <v>987</v>
      </c>
      <c r="C213" s="4" t="s">
        <v>117</v>
      </c>
      <c r="D213" s="4" t="s">
        <v>988</v>
      </c>
      <c r="E213" s="4"/>
      <c r="F213" s="4" t="s">
        <v>964</v>
      </c>
      <c r="G213" s="4"/>
      <c r="H213" s="4" t="s">
        <v>35</v>
      </c>
      <c r="I213" s="4"/>
      <c r="J213" s="5"/>
      <c r="K213" s="5"/>
      <c r="L213" s="4"/>
      <c r="M213" s="4" t="s">
        <v>60</v>
      </c>
      <c r="N213" s="4" t="s">
        <v>36</v>
      </c>
      <c r="O213" s="4" t="s">
        <v>53</v>
      </c>
      <c r="P213" s="4"/>
      <c r="Q213" s="4" t="s">
        <v>989</v>
      </c>
      <c r="R213" s="4" t="s">
        <v>990</v>
      </c>
      <c r="S213" s="4"/>
      <c r="T213" s="4"/>
      <c r="U213" s="4" t="s">
        <v>56</v>
      </c>
      <c r="V213" s="6"/>
      <c r="W213" s="4" t="s">
        <v>57</v>
      </c>
    </row>
    <row r="214" customFormat="false" ht="15" hidden="false" customHeight="false" outlineLevel="0" collapsed="false">
      <c r="A214" s="4" t="s">
        <v>991</v>
      </c>
      <c r="B214" s="4" t="s">
        <v>992</v>
      </c>
      <c r="C214" s="4" t="s">
        <v>117</v>
      </c>
      <c r="D214" s="4" t="s">
        <v>993</v>
      </c>
      <c r="E214" s="4"/>
      <c r="F214" s="4" t="s">
        <v>964</v>
      </c>
      <c r="G214" s="4"/>
      <c r="H214" s="4" t="s">
        <v>35</v>
      </c>
      <c r="I214" s="4"/>
      <c r="J214" s="5"/>
      <c r="K214" s="5"/>
      <c r="L214" s="4"/>
      <c r="M214" s="4" t="s">
        <v>60</v>
      </c>
      <c r="N214" s="4" t="s">
        <v>36</v>
      </c>
      <c r="O214" s="4" t="s">
        <v>53</v>
      </c>
      <c r="P214" s="4"/>
      <c r="Q214" s="4"/>
      <c r="R214" s="4" t="s">
        <v>994</v>
      </c>
      <c r="S214" s="4"/>
      <c r="T214" s="4"/>
      <c r="U214" s="4" t="s">
        <v>56</v>
      </c>
      <c r="V214" s="6"/>
      <c r="W214" s="4" t="s">
        <v>57</v>
      </c>
    </row>
    <row r="215" customFormat="false" ht="15" hidden="false" customHeight="false" outlineLevel="0" collapsed="false">
      <c r="A215" s="4" t="s">
        <v>995</v>
      </c>
      <c r="B215" s="4" t="s">
        <v>996</v>
      </c>
      <c r="C215" s="4" t="s">
        <v>117</v>
      </c>
      <c r="D215" s="4" t="s">
        <v>997</v>
      </c>
      <c r="E215" s="4"/>
      <c r="F215" s="4" t="s">
        <v>964</v>
      </c>
      <c r="G215" s="4"/>
      <c r="H215" s="4" t="s">
        <v>35</v>
      </c>
      <c r="I215" s="4"/>
      <c r="J215" s="5"/>
      <c r="K215" s="5"/>
      <c r="L215" s="4"/>
      <c r="M215" s="4" t="s">
        <v>60</v>
      </c>
      <c r="N215" s="4" t="s">
        <v>36</v>
      </c>
      <c r="O215" s="4" t="s">
        <v>53</v>
      </c>
      <c r="P215" s="4"/>
      <c r="Q215" s="4"/>
      <c r="R215" s="4" t="s">
        <v>998</v>
      </c>
      <c r="S215" s="4"/>
      <c r="T215" s="4"/>
      <c r="U215" s="4" t="s">
        <v>56</v>
      </c>
      <c r="V215" s="6"/>
      <c r="W215" s="4" t="s">
        <v>57</v>
      </c>
    </row>
    <row r="216" customFormat="false" ht="15" hidden="false" customHeight="false" outlineLevel="0" collapsed="false">
      <c r="A216" s="4" t="s">
        <v>999</v>
      </c>
      <c r="B216" s="4" t="s">
        <v>1000</v>
      </c>
      <c r="C216" s="4" t="s">
        <v>117</v>
      </c>
      <c r="D216" s="4" t="s">
        <v>1001</v>
      </c>
      <c r="E216" s="4"/>
      <c r="F216" s="4" t="s">
        <v>964</v>
      </c>
      <c r="G216" s="4"/>
      <c r="H216" s="4" t="s">
        <v>35</v>
      </c>
      <c r="I216" s="4"/>
      <c r="J216" s="5"/>
      <c r="K216" s="5"/>
      <c r="L216" s="4"/>
      <c r="M216" s="4" t="s">
        <v>60</v>
      </c>
      <c r="N216" s="4" t="s">
        <v>36</v>
      </c>
      <c r="O216" s="4" t="s">
        <v>53</v>
      </c>
      <c r="P216" s="4"/>
      <c r="Q216" s="4"/>
      <c r="R216" s="4" t="s">
        <v>1002</v>
      </c>
      <c r="S216" s="4"/>
      <c r="T216" s="4"/>
      <c r="U216" s="4" t="s">
        <v>56</v>
      </c>
      <c r="V216" s="6"/>
      <c r="W216" s="4" t="s">
        <v>57</v>
      </c>
    </row>
    <row r="217" customFormat="false" ht="15" hidden="false" customHeight="false" outlineLevel="0" collapsed="false">
      <c r="A217" s="4" t="s">
        <v>1003</v>
      </c>
      <c r="B217" s="4" t="s">
        <v>1004</v>
      </c>
      <c r="C217" s="4" t="s">
        <v>117</v>
      </c>
      <c r="D217" s="4" t="s">
        <v>1005</v>
      </c>
      <c r="E217" s="4"/>
      <c r="F217" s="4" t="s">
        <v>964</v>
      </c>
      <c r="G217" s="4"/>
      <c r="H217" s="4" t="s">
        <v>35</v>
      </c>
      <c r="I217" s="4"/>
      <c r="J217" s="5"/>
      <c r="K217" s="5"/>
      <c r="L217" s="4"/>
      <c r="M217" s="4" t="s">
        <v>60</v>
      </c>
      <c r="N217" s="4" t="s">
        <v>36</v>
      </c>
      <c r="O217" s="4" t="s">
        <v>53</v>
      </c>
      <c r="P217" s="4"/>
      <c r="Q217" s="4"/>
      <c r="R217" s="4" t="s">
        <v>1006</v>
      </c>
      <c r="S217" s="4"/>
      <c r="T217" s="4"/>
      <c r="U217" s="4" t="s">
        <v>56</v>
      </c>
      <c r="V217" s="6"/>
      <c r="W217" s="4" t="s">
        <v>57</v>
      </c>
    </row>
    <row r="218" customFormat="false" ht="15" hidden="false" customHeight="false" outlineLevel="0" collapsed="false">
      <c r="A218" s="4" t="s">
        <v>1007</v>
      </c>
      <c r="B218" s="4" t="s">
        <v>1008</v>
      </c>
      <c r="C218" s="4" t="s">
        <v>117</v>
      </c>
      <c r="D218" s="4" t="s">
        <v>1009</v>
      </c>
      <c r="E218" s="4"/>
      <c r="F218" s="4" t="s">
        <v>964</v>
      </c>
      <c r="G218" s="4"/>
      <c r="H218" s="4" t="s">
        <v>35</v>
      </c>
      <c r="I218" s="4"/>
      <c r="J218" s="5"/>
      <c r="K218" s="5"/>
      <c r="L218" s="4"/>
      <c r="M218" s="4" t="s">
        <v>60</v>
      </c>
      <c r="N218" s="4" t="s">
        <v>36</v>
      </c>
      <c r="O218" s="4" t="s">
        <v>53</v>
      </c>
      <c r="P218" s="4"/>
      <c r="Q218" s="4"/>
      <c r="R218" s="4" t="s">
        <v>1010</v>
      </c>
      <c r="S218" s="4"/>
      <c r="T218" s="4"/>
      <c r="U218" s="4" t="s">
        <v>56</v>
      </c>
      <c r="V218" s="6"/>
      <c r="W218" s="4" t="s">
        <v>57</v>
      </c>
    </row>
    <row r="219" customFormat="false" ht="15" hidden="false" customHeight="false" outlineLevel="0" collapsed="false">
      <c r="A219" s="4" t="s">
        <v>1011</v>
      </c>
      <c r="B219" s="4" t="s">
        <v>1012</v>
      </c>
      <c r="C219" s="4" t="s">
        <v>117</v>
      </c>
      <c r="D219" s="4" t="s">
        <v>1013</v>
      </c>
      <c r="E219" s="4"/>
      <c r="F219" s="4" t="s">
        <v>964</v>
      </c>
      <c r="G219" s="4"/>
      <c r="H219" s="4" t="s">
        <v>35</v>
      </c>
      <c r="I219" s="4"/>
      <c r="J219" s="5"/>
      <c r="K219" s="5"/>
      <c r="L219" s="4"/>
      <c r="M219" s="4" t="s">
        <v>60</v>
      </c>
      <c r="N219" s="4" t="s">
        <v>36</v>
      </c>
      <c r="O219" s="4" t="s">
        <v>53</v>
      </c>
      <c r="P219" s="4"/>
      <c r="Q219" s="4"/>
      <c r="R219" s="4" t="s">
        <v>1014</v>
      </c>
      <c r="S219" s="4"/>
      <c r="T219" s="4"/>
      <c r="U219" s="4" t="s">
        <v>56</v>
      </c>
      <c r="V219" s="6"/>
      <c r="W219" s="4" t="s">
        <v>57</v>
      </c>
    </row>
    <row r="220" customFormat="false" ht="15" hidden="false" customHeight="false" outlineLevel="0" collapsed="false">
      <c r="A220" s="4" t="s">
        <v>1015</v>
      </c>
      <c r="B220" s="4" t="s">
        <v>1016</v>
      </c>
      <c r="C220" s="4" t="s">
        <v>117</v>
      </c>
      <c r="D220" s="4" t="s">
        <v>1017</v>
      </c>
      <c r="E220" s="4"/>
      <c r="F220" s="4" t="s">
        <v>964</v>
      </c>
      <c r="G220" s="4"/>
      <c r="H220" s="4" t="s">
        <v>35</v>
      </c>
      <c r="I220" s="4"/>
      <c r="J220" s="5"/>
      <c r="K220" s="5"/>
      <c r="L220" s="4"/>
      <c r="M220" s="4" t="s">
        <v>60</v>
      </c>
      <c r="N220" s="4" t="s">
        <v>36</v>
      </c>
      <c r="O220" s="4" t="s">
        <v>53</v>
      </c>
      <c r="P220" s="4"/>
      <c r="Q220" s="4"/>
      <c r="R220" s="4" t="s">
        <v>1018</v>
      </c>
      <c r="S220" s="4"/>
      <c r="T220" s="4"/>
      <c r="U220" s="4" t="s">
        <v>56</v>
      </c>
      <c r="V220" s="6"/>
      <c r="W220" s="4" t="s">
        <v>57</v>
      </c>
    </row>
    <row r="221" customFormat="false" ht="15" hidden="false" customHeight="false" outlineLevel="0" collapsed="false">
      <c r="A221" s="4" t="s">
        <v>1019</v>
      </c>
      <c r="B221" s="4" t="s">
        <v>1020</v>
      </c>
      <c r="C221" s="4" t="s">
        <v>1021</v>
      </c>
      <c r="D221" s="4" t="s">
        <v>1022</v>
      </c>
      <c r="E221" s="4"/>
      <c r="F221" s="4" t="s">
        <v>1023</v>
      </c>
      <c r="G221" s="4"/>
      <c r="H221" s="4" t="s">
        <v>35</v>
      </c>
      <c r="I221" s="4"/>
      <c r="J221" s="5"/>
      <c r="K221" s="5"/>
      <c r="L221" s="4"/>
      <c r="M221" s="4" t="s">
        <v>36</v>
      </c>
      <c r="N221" s="4" t="s">
        <v>36</v>
      </c>
      <c r="O221" s="4" t="s">
        <v>53</v>
      </c>
      <c r="P221" s="4"/>
      <c r="Q221" s="4" t="s">
        <v>1024</v>
      </c>
      <c r="R221" s="4" t="s">
        <v>1025</v>
      </c>
      <c r="S221" s="4"/>
      <c r="T221" s="4"/>
      <c r="U221" s="4" t="s">
        <v>56</v>
      </c>
      <c r="V221" s="6"/>
      <c r="W221" s="4" t="s">
        <v>57</v>
      </c>
    </row>
    <row r="222" customFormat="false" ht="15" hidden="false" customHeight="false" outlineLevel="0" collapsed="false">
      <c r="A222" s="4" t="s">
        <v>1026</v>
      </c>
      <c r="B222" s="4" t="s">
        <v>1027</v>
      </c>
      <c r="C222" s="4" t="s">
        <v>1021</v>
      </c>
      <c r="D222" s="4" t="s">
        <v>1022</v>
      </c>
      <c r="E222" s="4"/>
      <c r="F222" s="4" t="s">
        <v>1023</v>
      </c>
      <c r="G222" s="4"/>
      <c r="H222" s="4" t="s">
        <v>35</v>
      </c>
      <c r="I222" s="4"/>
      <c r="J222" s="5"/>
      <c r="K222" s="5"/>
      <c r="L222" s="4"/>
      <c r="M222" s="4" t="s">
        <v>60</v>
      </c>
      <c r="N222" s="4" t="s">
        <v>36</v>
      </c>
      <c r="O222" s="4" t="s">
        <v>53</v>
      </c>
      <c r="P222" s="4"/>
      <c r="Q222" s="4" t="s">
        <v>1028</v>
      </c>
      <c r="R222" s="4" t="s">
        <v>1029</v>
      </c>
      <c r="S222" s="4"/>
      <c r="T222" s="4"/>
      <c r="U222" s="4" t="s">
        <v>56</v>
      </c>
      <c r="V222" s="6"/>
      <c r="W222" s="4" t="s">
        <v>57</v>
      </c>
    </row>
    <row r="223" customFormat="false" ht="15" hidden="false" customHeight="false" outlineLevel="0" collapsed="false">
      <c r="A223" s="4" t="s">
        <v>1030</v>
      </c>
      <c r="B223" s="4" t="s">
        <v>1031</v>
      </c>
      <c r="C223" s="4" t="s">
        <v>117</v>
      </c>
      <c r="D223" s="4" t="s">
        <v>1022</v>
      </c>
      <c r="E223" s="4"/>
      <c r="F223" s="4" t="s">
        <v>1023</v>
      </c>
      <c r="G223" s="4"/>
      <c r="H223" s="4" t="s">
        <v>35</v>
      </c>
      <c r="I223" s="4"/>
      <c r="J223" s="5"/>
      <c r="K223" s="5"/>
      <c r="L223" s="4"/>
      <c r="M223" s="4" t="s">
        <v>60</v>
      </c>
      <c r="N223" s="4" t="s">
        <v>36</v>
      </c>
      <c r="O223" s="4" t="s">
        <v>53</v>
      </c>
      <c r="P223" s="4"/>
      <c r="Q223" s="4" t="s">
        <v>1032</v>
      </c>
      <c r="R223" s="4" t="s">
        <v>1033</v>
      </c>
      <c r="S223" s="4"/>
      <c r="T223" s="4"/>
      <c r="U223" s="4" t="s">
        <v>56</v>
      </c>
      <c r="V223" s="6"/>
      <c r="W223" s="4" t="s">
        <v>57</v>
      </c>
    </row>
    <row r="224" customFormat="false" ht="15" hidden="false" customHeight="false" outlineLevel="0" collapsed="false">
      <c r="A224" s="4" t="s">
        <v>1034</v>
      </c>
      <c r="B224" s="4" t="s">
        <v>1035</v>
      </c>
      <c r="C224" s="4" t="s">
        <v>117</v>
      </c>
      <c r="D224" s="4" t="s">
        <v>1036</v>
      </c>
      <c r="E224" s="4"/>
      <c r="F224" s="4" t="s">
        <v>1023</v>
      </c>
      <c r="G224" s="4"/>
      <c r="H224" s="4" t="s">
        <v>35</v>
      </c>
      <c r="I224" s="4"/>
      <c r="J224" s="5"/>
      <c r="K224" s="5"/>
      <c r="L224" s="4"/>
      <c r="M224" s="4" t="s">
        <v>36</v>
      </c>
      <c r="N224" s="4" t="s">
        <v>36</v>
      </c>
      <c r="O224" s="4" t="s">
        <v>53</v>
      </c>
      <c r="P224" s="4"/>
      <c r="Q224" s="4" t="s">
        <v>1037</v>
      </c>
      <c r="R224" s="4" t="s">
        <v>1038</v>
      </c>
      <c r="S224" s="4"/>
      <c r="T224" s="4"/>
      <c r="U224" s="4" t="s">
        <v>56</v>
      </c>
      <c r="V224" s="6"/>
      <c r="W224" s="4" t="s">
        <v>57</v>
      </c>
    </row>
    <row r="225" customFormat="false" ht="15" hidden="false" customHeight="false" outlineLevel="0" collapsed="false">
      <c r="A225" s="4" t="s">
        <v>1039</v>
      </c>
      <c r="B225" s="4" t="s">
        <v>1040</v>
      </c>
      <c r="C225" s="4" t="s">
        <v>32</v>
      </c>
      <c r="D225" s="4" t="s">
        <v>1041</v>
      </c>
      <c r="E225" s="4"/>
      <c r="F225" s="4" t="s">
        <v>1023</v>
      </c>
      <c r="G225" s="4"/>
      <c r="H225" s="4" t="s">
        <v>35</v>
      </c>
      <c r="I225" s="4"/>
      <c r="J225" s="5"/>
      <c r="K225" s="5"/>
      <c r="L225" s="4"/>
      <c r="M225" s="4" t="s">
        <v>36</v>
      </c>
      <c r="N225" s="4" t="s">
        <v>36</v>
      </c>
      <c r="O225" s="4" t="s">
        <v>53</v>
      </c>
      <c r="P225" s="4"/>
      <c r="Q225" s="4" t="s">
        <v>1042</v>
      </c>
      <c r="R225" s="4" t="s">
        <v>1043</v>
      </c>
      <c r="S225" s="4"/>
      <c r="T225" s="4"/>
      <c r="U225" s="4" t="s">
        <v>56</v>
      </c>
      <c r="V225" s="6"/>
      <c r="W225" s="4" t="s">
        <v>57</v>
      </c>
    </row>
    <row r="226" customFormat="false" ht="15" hidden="false" customHeight="false" outlineLevel="0" collapsed="false">
      <c r="A226" s="4" t="s">
        <v>1044</v>
      </c>
      <c r="B226" s="4" t="s">
        <v>1045</v>
      </c>
      <c r="C226" s="4" t="s">
        <v>32</v>
      </c>
      <c r="D226" s="4" t="s">
        <v>1041</v>
      </c>
      <c r="E226" s="4"/>
      <c r="F226" s="4" t="s">
        <v>1023</v>
      </c>
      <c r="G226" s="4"/>
      <c r="H226" s="4" t="s">
        <v>35</v>
      </c>
      <c r="I226" s="4"/>
      <c r="J226" s="5"/>
      <c r="K226" s="5"/>
      <c r="L226" s="4"/>
      <c r="M226" s="4" t="s">
        <v>36</v>
      </c>
      <c r="N226" s="4" t="s">
        <v>36</v>
      </c>
      <c r="O226" s="4" t="s">
        <v>53</v>
      </c>
      <c r="P226" s="4"/>
      <c r="Q226" s="4" t="s">
        <v>1046</v>
      </c>
      <c r="R226" s="4" t="s">
        <v>1047</v>
      </c>
      <c r="S226" s="4"/>
      <c r="T226" s="4"/>
      <c r="U226" s="4" t="s">
        <v>56</v>
      </c>
      <c r="V226" s="6"/>
      <c r="W226" s="4" t="s">
        <v>57</v>
      </c>
    </row>
    <row r="227" customFormat="false" ht="15" hidden="false" customHeight="false" outlineLevel="0" collapsed="false">
      <c r="A227" s="4" t="s">
        <v>1048</v>
      </c>
      <c r="B227" s="4" t="s">
        <v>1049</v>
      </c>
      <c r="C227" s="4" t="s">
        <v>117</v>
      </c>
      <c r="D227" s="4" t="s">
        <v>1041</v>
      </c>
      <c r="E227" s="4"/>
      <c r="F227" s="4" t="s">
        <v>1023</v>
      </c>
      <c r="G227" s="4"/>
      <c r="H227" s="4" t="s">
        <v>35</v>
      </c>
      <c r="I227" s="4"/>
      <c r="J227" s="5"/>
      <c r="K227" s="5"/>
      <c r="L227" s="4"/>
      <c r="M227" s="4" t="s">
        <v>60</v>
      </c>
      <c r="N227" s="4" t="s">
        <v>36</v>
      </c>
      <c r="O227" s="4" t="s">
        <v>53</v>
      </c>
      <c r="P227" s="4"/>
      <c r="Q227" s="4" t="s">
        <v>1050</v>
      </c>
      <c r="R227" s="4" t="s">
        <v>1051</v>
      </c>
      <c r="S227" s="4"/>
      <c r="T227" s="4"/>
      <c r="U227" s="4" t="s">
        <v>56</v>
      </c>
      <c r="V227" s="6"/>
      <c r="W227" s="4" t="s">
        <v>57</v>
      </c>
    </row>
    <row r="228" customFormat="false" ht="15" hidden="false" customHeight="false" outlineLevel="0" collapsed="false">
      <c r="A228" s="4" t="s">
        <v>1052</v>
      </c>
      <c r="B228" s="4" t="s">
        <v>1053</v>
      </c>
      <c r="C228" s="4" t="s">
        <v>32</v>
      </c>
      <c r="D228" s="4" t="s">
        <v>1054</v>
      </c>
      <c r="E228" s="4"/>
      <c r="F228" s="4" t="s">
        <v>1023</v>
      </c>
      <c r="G228" s="4"/>
      <c r="H228" s="4" t="s">
        <v>35</v>
      </c>
      <c r="I228" s="4"/>
      <c r="J228" s="5"/>
      <c r="K228" s="5"/>
      <c r="L228" s="4"/>
      <c r="M228" s="4" t="s">
        <v>36</v>
      </c>
      <c r="N228" s="4" t="s">
        <v>36</v>
      </c>
      <c r="O228" s="4" t="s">
        <v>53</v>
      </c>
      <c r="P228" s="4"/>
      <c r="Q228" s="4" t="s">
        <v>1055</v>
      </c>
      <c r="R228" s="4" t="s">
        <v>1056</v>
      </c>
      <c r="S228" s="4"/>
      <c r="T228" s="4"/>
      <c r="U228" s="4" t="s">
        <v>56</v>
      </c>
      <c r="V228" s="6"/>
      <c r="W228" s="4" t="s">
        <v>57</v>
      </c>
    </row>
    <row r="229" customFormat="false" ht="15" hidden="false" customHeight="false" outlineLevel="0" collapsed="false">
      <c r="A229" s="4" t="s">
        <v>1057</v>
      </c>
      <c r="B229" s="4" t="s">
        <v>1058</v>
      </c>
      <c r="C229" s="4" t="s">
        <v>111</v>
      </c>
      <c r="D229" s="4" t="s">
        <v>1059</v>
      </c>
      <c r="E229" s="4"/>
      <c r="F229" s="4" t="s">
        <v>1023</v>
      </c>
      <c r="G229" s="4"/>
      <c r="H229" s="4" t="s">
        <v>35</v>
      </c>
      <c r="I229" s="4"/>
      <c r="J229" s="5"/>
      <c r="K229" s="5"/>
      <c r="L229" s="4"/>
      <c r="M229" s="4" t="s">
        <v>36</v>
      </c>
      <c r="N229" s="4" t="s">
        <v>36</v>
      </c>
      <c r="O229" s="4" t="s">
        <v>53</v>
      </c>
      <c r="P229" s="4"/>
      <c r="Q229" s="4" t="s">
        <v>1060</v>
      </c>
      <c r="R229" s="4" t="s">
        <v>1061</v>
      </c>
      <c r="S229" s="4"/>
      <c r="T229" s="4"/>
      <c r="U229" s="4" t="s">
        <v>56</v>
      </c>
      <c r="V229" s="6"/>
      <c r="W229" s="4" t="s">
        <v>57</v>
      </c>
    </row>
    <row r="230" customFormat="false" ht="15" hidden="false" customHeight="false" outlineLevel="0" collapsed="false">
      <c r="A230" s="4" t="s">
        <v>1062</v>
      </c>
      <c r="B230" s="4" t="s">
        <v>1063</v>
      </c>
      <c r="C230" s="4" t="s">
        <v>111</v>
      </c>
      <c r="D230" s="4" t="s">
        <v>1064</v>
      </c>
      <c r="E230" s="4"/>
      <c r="F230" s="4" t="s">
        <v>1023</v>
      </c>
      <c r="G230" s="4"/>
      <c r="H230" s="4" t="s">
        <v>35</v>
      </c>
      <c r="I230" s="4"/>
      <c r="J230" s="5"/>
      <c r="K230" s="5"/>
      <c r="L230" s="4"/>
      <c r="M230" s="4" t="s">
        <v>36</v>
      </c>
      <c r="N230" s="4" t="s">
        <v>36</v>
      </c>
      <c r="O230" s="4" t="s">
        <v>53</v>
      </c>
      <c r="P230" s="4"/>
      <c r="Q230" s="4" t="s">
        <v>1065</v>
      </c>
      <c r="R230" s="4" t="s">
        <v>1066</v>
      </c>
      <c r="S230" s="4"/>
      <c r="T230" s="4"/>
      <c r="U230" s="4" t="s">
        <v>56</v>
      </c>
      <c r="V230" s="6"/>
      <c r="W230" s="4" t="s">
        <v>57</v>
      </c>
    </row>
    <row r="231" customFormat="false" ht="15" hidden="false" customHeight="false" outlineLevel="0" collapsed="false">
      <c r="A231" s="4" t="s">
        <v>1067</v>
      </c>
      <c r="B231" s="4" t="s">
        <v>1068</v>
      </c>
      <c r="C231" s="4" t="s">
        <v>111</v>
      </c>
      <c r="D231" s="4" t="s">
        <v>1069</v>
      </c>
      <c r="E231" s="4"/>
      <c r="F231" s="4" t="s">
        <v>1023</v>
      </c>
      <c r="G231" s="4"/>
      <c r="H231" s="4" t="s">
        <v>35</v>
      </c>
      <c r="I231" s="4"/>
      <c r="J231" s="5"/>
      <c r="K231" s="5"/>
      <c r="L231" s="4"/>
      <c r="M231" s="4" t="s">
        <v>60</v>
      </c>
      <c r="N231" s="4" t="s">
        <v>36</v>
      </c>
      <c r="O231" s="4" t="s">
        <v>53</v>
      </c>
      <c r="P231" s="4"/>
      <c r="Q231" s="4" t="s">
        <v>1070</v>
      </c>
      <c r="R231" s="4" t="s">
        <v>1071</v>
      </c>
      <c r="S231" s="4"/>
      <c r="T231" s="4"/>
      <c r="U231" s="4" t="s">
        <v>56</v>
      </c>
      <c r="V231" s="6"/>
      <c r="W231" s="4" t="s">
        <v>57</v>
      </c>
    </row>
    <row r="232" customFormat="false" ht="15" hidden="false" customHeight="false" outlineLevel="0" collapsed="false">
      <c r="A232" s="4" t="s">
        <v>1072</v>
      </c>
      <c r="B232" s="4" t="s">
        <v>1073</v>
      </c>
      <c r="C232" s="4" t="s">
        <v>117</v>
      </c>
      <c r="D232" s="4" t="s">
        <v>1074</v>
      </c>
      <c r="E232" s="4"/>
      <c r="F232" s="4" t="s">
        <v>1023</v>
      </c>
      <c r="G232" s="4"/>
      <c r="H232" s="4" t="s">
        <v>35</v>
      </c>
      <c r="I232" s="4"/>
      <c r="J232" s="5"/>
      <c r="K232" s="5"/>
      <c r="L232" s="4"/>
      <c r="M232" s="4" t="s">
        <v>60</v>
      </c>
      <c r="N232" s="4" t="s">
        <v>36</v>
      </c>
      <c r="O232" s="4" t="s">
        <v>53</v>
      </c>
      <c r="P232" s="4"/>
      <c r="Q232" s="4"/>
      <c r="R232" s="4" t="s">
        <v>1075</v>
      </c>
      <c r="S232" s="4"/>
      <c r="T232" s="4"/>
      <c r="U232" s="4" t="s">
        <v>56</v>
      </c>
      <c r="V232" s="6"/>
      <c r="W232" s="4" t="s">
        <v>57</v>
      </c>
    </row>
    <row r="233" customFormat="false" ht="15" hidden="false" customHeight="false" outlineLevel="0" collapsed="false">
      <c r="A233" s="4" t="s">
        <v>1076</v>
      </c>
      <c r="B233" s="4" t="s">
        <v>1077</v>
      </c>
      <c r="C233" s="4" t="s">
        <v>117</v>
      </c>
      <c r="D233" s="4" t="s">
        <v>1078</v>
      </c>
      <c r="E233" s="4"/>
      <c r="F233" s="4" t="s">
        <v>1023</v>
      </c>
      <c r="G233" s="4"/>
      <c r="H233" s="4" t="s">
        <v>35</v>
      </c>
      <c r="I233" s="4"/>
      <c r="J233" s="5"/>
      <c r="K233" s="5"/>
      <c r="L233" s="4"/>
      <c r="M233" s="4" t="s">
        <v>60</v>
      </c>
      <c r="N233" s="4" t="s">
        <v>36</v>
      </c>
      <c r="O233" s="4" t="s">
        <v>53</v>
      </c>
      <c r="P233" s="4"/>
      <c r="Q233" s="4"/>
      <c r="R233" s="4" t="s">
        <v>1079</v>
      </c>
      <c r="S233" s="4"/>
      <c r="T233" s="4"/>
      <c r="U233" s="4" t="s">
        <v>56</v>
      </c>
      <c r="V233" s="6"/>
      <c r="W233" s="4" t="s">
        <v>57</v>
      </c>
    </row>
    <row r="234" customFormat="false" ht="15" hidden="false" customHeight="false" outlineLevel="0" collapsed="false">
      <c r="A234" s="4" t="s">
        <v>1080</v>
      </c>
      <c r="B234" s="4" t="s">
        <v>1081</v>
      </c>
      <c r="C234" s="4" t="s">
        <v>117</v>
      </c>
      <c r="D234" s="4" t="s">
        <v>1082</v>
      </c>
      <c r="E234" s="4"/>
      <c r="F234" s="4" t="s">
        <v>1023</v>
      </c>
      <c r="G234" s="4"/>
      <c r="H234" s="4" t="s">
        <v>35</v>
      </c>
      <c r="I234" s="4"/>
      <c r="J234" s="5"/>
      <c r="K234" s="5"/>
      <c r="L234" s="4"/>
      <c r="M234" s="4" t="s">
        <v>60</v>
      </c>
      <c r="N234" s="4" t="s">
        <v>36</v>
      </c>
      <c r="O234" s="4" t="s">
        <v>53</v>
      </c>
      <c r="P234" s="4"/>
      <c r="Q234" s="4"/>
      <c r="R234" s="4" t="s">
        <v>1083</v>
      </c>
      <c r="S234" s="4"/>
      <c r="T234" s="4"/>
      <c r="U234" s="4" t="s">
        <v>56</v>
      </c>
      <c r="V234" s="6"/>
      <c r="W234" s="4" t="s">
        <v>57</v>
      </c>
    </row>
    <row r="235" customFormat="false" ht="15" hidden="false" customHeight="false" outlineLevel="0" collapsed="false">
      <c r="A235" s="4" t="s">
        <v>1084</v>
      </c>
      <c r="B235" s="4" t="s">
        <v>1085</v>
      </c>
      <c r="C235" s="4" t="s">
        <v>117</v>
      </c>
      <c r="D235" s="4" t="s">
        <v>1086</v>
      </c>
      <c r="E235" s="4"/>
      <c r="F235" s="4" t="s">
        <v>1023</v>
      </c>
      <c r="G235" s="4"/>
      <c r="H235" s="4" t="s">
        <v>35</v>
      </c>
      <c r="I235" s="4"/>
      <c r="J235" s="5"/>
      <c r="K235" s="5"/>
      <c r="L235" s="4"/>
      <c r="M235" s="4" t="s">
        <v>60</v>
      </c>
      <c r="N235" s="4" t="s">
        <v>36</v>
      </c>
      <c r="O235" s="4" t="s">
        <v>53</v>
      </c>
      <c r="P235" s="4"/>
      <c r="Q235" s="4"/>
      <c r="R235" s="4" t="s">
        <v>1087</v>
      </c>
      <c r="S235" s="4"/>
      <c r="T235" s="4"/>
      <c r="U235" s="4" t="s">
        <v>56</v>
      </c>
      <c r="V235" s="6"/>
      <c r="W235" s="4" t="s">
        <v>57</v>
      </c>
    </row>
    <row r="236" customFormat="false" ht="15" hidden="false" customHeight="false" outlineLevel="0" collapsed="false">
      <c r="A236" s="4" t="s">
        <v>1088</v>
      </c>
      <c r="B236" s="4" t="s">
        <v>1089</v>
      </c>
      <c r="C236" s="4" t="s">
        <v>117</v>
      </c>
      <c r="D236" s="4" t="s">
        <v>1090</v>
      </c>
      <c r="E236" s="4"/>
      <c r="F236" s="4" t="s">
        <v>1023</v>
      </c>
      <c r="G236" s="4"/>
      <c r="H236" s="4" t="s">
        <v>35</v>
      </c>
      <c r="I236" s="4"/>
      <c r="J236" s="5"/>
      <c r="K236" s="5"/>
      <c r="L236" s="4"/>
      <c r="M236" s="4" t="s">
        <v>60</v>
      </c>
      <c r="N236" s="4" t="s">
        <v>36</v>
      </c>
      <c r="O236" s="4" t="s">
        <v>53</v>
      </c>
      <c r="P236" s="4"/>
      <c r="Q236" s="4"/>
      <c r="R236" s="4" t="s">
        <v>1091</v>
      </c>
      <c r="S236" s="4"/>
      <c r="T236" s="4"/>
      <c r="U236" s="4" t="s">
        <v>56</v>
      </c>
      <c r="V236" s="6"/>
      <c r="W236" s="4" t="s">
        <v>57</v>
      </c>
    </row>
    <row r="237" customFormat="false" ht="15" hidden="false" customHeight="false" outlineLevel="0" collapsed="false">
      <c r="A237" s="4" t="s">
        <v>1092</v>
      </c>
      <c r="B237" s="4" t="s">
        <v>1093</v>
      </c>
      <c r="C237" s="4" t="s">
        <v>117</v>
      </c>
      <c r="D237" s="4" t="s">
        <v>1094</v>
      </c>
      <c r="E237" s="4"/>
      <c r="F237" s="4" t="s">
        <v>1023</v>
      </c>
      <c r="G237" s="4"/>
      <c r="H237" s="4" t="s">
        <v>35</v>
      </c>
      <c r="I237" s="4"/>
      <c r="J237" s="5"/>
      <c r="K237" s="5"/>
      <c r="L237" s="4"/>
      <c r="M237" s="4" t="s">
        <v>60</v>
      </c>
      <c r="N237" s="4" t="s">
        <v>36</v>
      </c>
      <c r="O237" s="4" t="s">
        <v>53</v>
      </c>
      <c r="P237" s="4"/>
      <c r="Q237" s="4"/>
      <c r="R237" s="4" t="s">
        <v>1095</v>
      </c>
      <c r="S237" s="4"/>
      <c r="T237" s="4"/>
      <c r="U237" s="4" t="s">
        <v>56</v>
      </c>
      <c r="V237" s="6"/>
      <c r="W237" s="4" t="s">
        <v>57</v>
      </c>
    </row>
    <row r="238" customFormat="false" ht="15" hidden="false" customHeight="false" outlineLevel="0" collapsed="false">
      <c r="A238" s="4" t="s">
        <v>1096</v>
      </c>
      <c r="B238" s="4" t="s">
        <v>1097</v>
      </c>
      <c r="C238" s="4" t="s">
        <v>117</v>
      </c>
      <c r="D238" s="4" t="s">
        <v>1098</v>
      </c>
      <c r="E238" s="4"/>
      <c r="F238" s="4" t="s">
        <v>1023</v>
      </c>
      <c r="G238" s="4"/>
      <c r="H238" s="4" t="s">
        <v>35</v>
      </c>
      <c r="I238" s="4"/>
      <c r="J238" s="5"/>
      <c r="K238" s="5"/>
      <c r="L238" s="4"/>
      <c r="M238" s="4" t="s">
        <v>60</v>
      </c>
      <c r="N238" s="4" t="s">
        <v>36</v>
      </c>
      <c r="O238" s="4" t="s">
        <v>53</v>
      </c>
      <c r="P238" s="4"/>
      <c r="Q238" s="4"/>
      <c r="R238" s="4" t="s">
        <v>1099</v>
      </c>
      <c r="S238" s="4"/>
      <c r="T238" s="4"/>
      <c r="U238" s="4" t="s">
        <v>56</v>
      </c>
      <c r="V238" s="6"/>
      <c r="W238" s="4" t="s">
        <v>57</v>
      </c>
    </row>
    <row r="239" customFormat="false" ht="15" hidden="false" customHeight="false" outlineLevel="0" collapsed="false">
      <c r="A239" s="4" t="s">
        <v>1100</v>
      </c>
      <c r="B239" s="4" t="s">
        <v>1101</v>
      </c>
      <c r="C239" s="4" t="s">
        <v>117</v>
      </c>
      <c r="D239" s="4" t="s">
        <v>1102</v>
      </c>
      <c r="E239" s="4"/>
      <c r="F239" s="4" t="s">
        <v>1023</v>
      </c>
      <c r="G239" s="4"/>
      <c r="H239" s="4" t="s">
        <v>35</v>
      </c>
      <c r="I239" s="4"/>
      <c r="J239" s="5"/>
      <c r="K239" s="5"/>
      <c r="L239" s="4"/>
      <c r="M239" s="4" t="s">
        <v>60</v>
      </c>
      <c r="N239" s="4" t="s">
        <v>36</v>
      </c>
      <c r="O239" s="4" t="s">
        <v>53</v>
      </c>
      <c r="P239" s="4"/>
      <c r="Q239" s="4"/>
      <c r="R239" s="4" t="s">
        <v>1103</v>
      </c>
      <c r="S239" s="4"/>
      <c r="T239" s="4"/>
      <c r="U239" s="4" t="s">
        <v>56</v>
      </c>
      <c r="V239" s="6"/>
      <c r="W239" s="4" t="s">
        <v>57</v>
      </c>
    </row>
    <row r="240" customFormat="false" ht="15" hidden="false" customHeight="false" outlineLevel="0" collapsed="false">
      <c r="A240" s="4" t="s">
        <v>1104</v>
      </c>
      <c r="B240" s="4" t="s">
        <v>1105</v>
      </c>
      <c r="C240" s="4" t="s">
        <v>117</v>
      </c>
      <c r="D240" s="4" t="s">
        <v>1106</v>
      </c>
      <c r="E240" s="4"/>
      <c r="F240" s="4" t="s">
        <v>1023</v>
      </c>
      <c r="G240" s="4"/>
      <c r="H240" s="4" t="s">
        <v>35</v>
      </c>
      <c r="I240" s="4"/>
      <c r="J240" s="5"/>
      <c r="K240" s="5"/>
      <c r="L240" s="4"/>
      <c r="M240" s="4" t="s">
        <v>60</v>
      </c>
      <c r="N240" s="4" t="s">
        <v>36</v>
      </c>
      <c r="O240" s="4" t="s">
        <v>53</v>
      </c>
      <c r="P240" s="4"/>
      <c r="Q240" s="4"/>
      <c r="R240" s="4" t="s">
        <v>1107</v>
      </c>
      <c r="S240" s="4"/>
      <c r="T240" s="4"/>
      <c r="U240" s="4" t="s">
        <v>56</v>
      </c>
      <c r="V240" s="6"/>
      <c r="W240" s="4" t="s">
        <v>57</v>
      </c>
    </row>
    <row r="241" customFormat="false" ht="15" hidden="false" customHeight="false" outlineLevel="0" collapsed="false">
      <c r="A241" s="4" t="s">
        <v>1108</v>
      </c>
      <c r="B241" s="4" t="s">
        <v>1109</v>
      </c>
      <c r="C241" s="4" t="s">
        <v>117</v>
      </c>
      <c r="D241" s="4" t="s">
        <v>1110</v>
      </c>
      <c r="E241" s="4"/>
      <c r="F241" s="4" t="s">
        <v>1023</v>
      </c>
      <c r="G241" s="4"/>
      <c r="H241" s="4" t="s">
        <v>35</v>
      </c>
      <c r="I241" s="4"/>
      <c r="J241" s="5"/>
      <c r="K241" s="5"/>
      <c r="L241" s="4"/>
      <c r="M241" s="4" t="s">
        <v>60</v>
      </c>
      <c r="N241" s="4" t="s">
        <v>36</v>
      </c>
      <c r="O241" s="4" t="s">
        <v>53</v>
      </c>
      <c r="P241" s="4"/>
      <c r="Q241" s="4"/>
      <c r="R241" s="4" t="s">
        <v>1111</v>
      </c>
      <c r="S241" s="4"/>
      <c r="T241" s="4"/>
      <c r="U241" s="4" t="s">
        <v>56</v>
      </c>
      <c r="V241" s="6"/>
      <c r="W241" s="4" t="s">
        <v>57</v>
      </c>
    </row>
    <row r="242" customFormat="false" ht="15" hidden="false" customHeight="false" outlineLevel="0" collapsed="false">
      <c r="A242" s="4" t="s">
        <v>1112</v>
      </c>
      <c r="B242" s="4" t="s">
        <v>1113</v>
      </c>
      <c r="C242" s="4" t="s">
        <v>320</v>
      </c>
      <c r="D242" s="4" t="s">
        <v>1114</v>
      </c>
      <c r="E242" s="4"/>
      <c r="F242" s="4" t="s">
        <v>1115</v>
      </c>
      <c r="G242" s="4"/>
      <c r="H242" s="4" t="s">
        <v>35</v>
      </c>
      <c r="I242" s="4"/>
      <c r="J242" s="5"/>
      <c r="K242" s="5"/>
      <c r="L242" s="4"/>
      <c r="M242" s="4" t="s">
        <v>36</v>
      </c>
      <c r="N242" s="4" t="s">
        <v>36</v>
      </c>
      <c r="O242" s="4" t="s">
        <v>53</v>
      </c>
      <c r="P242" s="4"/>
      <c r="Q242" s="4" t="s">
        <v>1116</v>
      </c>
      <c r="R242" s="4" t="s">
        <v>1117</v>
      </c>
      <c r="S242" s="4"/>
      <c r="T242" s="4"/>
      <c r="U242" s="4" t="s">
        <v>56</v>
      </c>
      <c r="V242" s="6"/>
      <c r="W242" s="4" t="s">
        <v>57</v>
      </c>
    </row>
    <row r="243" customFormat="false" ht="15" hidden="false" customHeight="false" outlineLevel="0" collapsed="false">
      <c r="A243" s="4" t="s">
        <v>1118</v>
      </c>
      <c r="B243" s="4" t="s">
        <v>1119</v>
      </c>
      <c r="C243" s="4" t="s">
        <v>117</v>
      </c>
      <c r="D243" s="4" t="s">
        <v>1120</v>
      </c>
      <c r="E243" s="4"/>
      <c r="F243" s="4" t="s">
        <v>1115</v>
      </c>
      <c r="G243" s="4"/>
      <c r="H243" s="4" t="s">
        <v>35</v>
      </c>
      <c r="I243" s="4"/>
      <c r="J243" s="5"/>
      <c r="K243" s="5"/>
      <c r="L243" s="4"/>
      <c r="M243" s="4" t="s">
        <v>60</v>
      </c>
      <c r="N243" s="4" t="s">
        <v>36</v>
      </c>
      <c r="O243" s="4" t="s">
        <v>53</v>
      </c>
      <c r="P243" s="4"/>
      <c r="Q243" s="4"/>
      <c r="R243" s="4" t="s">
        <v>1121</v>
      </c>
      <c r="S243" s="4"/>
      <c r="T243" s="4"/>
      <c r="U243" s="4" t="s">
        <v>56</v>
      </c>
      <c r="V243" s="6"/>
      <c r="W243" s="4" t="s">
        <v>57</v>
      </c>
    </row>
    <row r="244" customFormat="false" ht="15" hidden="false" customHeight="false" outlineLevel="0" collapsed="false">
      <c r="A244" s="4" t="s">
        <v>1122</v>
      </c>
      <c r="B244" s="4" t="s">
        <v>1123</v>
      </c>
      <c r="C244" s="4" t="s">
        <v>117</v>
      </c>
      <c r="D244" s="4" t="s">
        <v>1124</v>
      </c>
      <c r="E244" s="4"/>
      <c r="F244" s="4" t="s">
        <v>1115</v>
      </c>
      <c r="G244" s="4"/>
      <c r="H244" s="4" t="s">
        <v>35</v>
      </c>
      <c r="I244" s="4"/>
      <c r="J244" s="5"/>
      <c r="K244" s="5"/>
      <c r="L244" s="4"/>
      <c r="M244" s="4" t="s">
        <v>60</v>
      </c>
      <c r="N244" s="4" t="s">
        <v>36</v>
      </c>
      <c r="O244" s="4" t="s">
        <v>53</v>
      </c>
      <c r="P244" s="4"/>
      <c r="Q244" s="4"/>
      <c r="R244" s="4" t="s">
        <v>1125</v>
      </c>
      <c r="S244" s="4"/>
      <c r="T244" s="4"/>
      <c r="U244" s="4" t="s">
        <v>56</v>
      </c>
      <c r="V244" s="6"/>
      <c r="W244" s="4" t="s">
        <v>57</v>
      </c>
    </row>
    <row r="245" customFormat="false" ht="15" hidden="false" customHeight="false" outlineLevel="0" collapsed="false">
      <c r="A245" s="4" t="s">
        <v>1126</v>
      </c>
      <c r="B245" s="4" t="s">
        <v>1127</v>
      </c>
      <c r="C245" s="4" t="s">
        <v>117</v>
      </c>
      <c r="D245" s="4" t="s">
        <v>1128</v>
      </c>
      <c r="E245" s="4"/>
      <c r="F245" s="4" t="s">
        <v>1115</v>
      </c>
      <c r="G245" s="4"/>
      <c r="H245" s="4" t="s">
        <v>35</v>
      </c>
      <c r="I245" s="4"/>
      <c r="J245" s="5"/>
      <c r="K245" s="5"/>
      <c r="L245" s="4"/>
      <c r="M245" s="4" t="s">
        <v>60</v>
      </c>
      <c r="N245" s="4" t="s">
        <v>36</v>
      </c>
      <c r="O245" s="4" t="s">
        <v>53</v>
      </c>
      <c r="P245" s="4"/>
      <c r="Q245" s="4"/>
      <c r="R245" s="4" t="s">
        <v>1129</v>
      </c>
      <c r="S245" s="4"/>
      <c r="T245" s="4"/>
      <c r="U245" s="4" t="s">
        <v>56</v>
      </c>
      <c r="V245" s="6"/>
      <c r="W245" s="4" t="s">
        <v>57</v>
      </c>
    </row>
    <row r="246" customFormat="false" ht="15" hidden="false" customHeight="false" outlineLevel="0" collapsed="false">
      <c r="A246" s="4" t="s">
        <v>1130</v>
      </c>
      <c r="B246" s="4" t="s">
        <v>1131</v>
      </c>
      <c r="C246" s="4" t="s">
        <v>117</v>
      </c>
      <c r="D246" s="4" t="s">
        <v>204</v>
      </c>
      <c r="E246" s="4"/>
      <c r="F246" s="4" t="s">
        <v>1115</v>
      </c>
      <c r="G246" s="4"/>
      <c r="H246" s="4" t="s">
        <v>35</v>
      </c>
      <c r="I246" s="4"/>
      <c r="J246" s="5"/>
      <c r="K246" s="5"/>
      <c r="L246" s="4"/>
      <c r="M246" s="4" t="s">
        <v>60</v>
      </c>
      <c r="N246" s="4" t="s">
        <v>36</v>
      </c>
      <c r="O246" s="4" t="s">
        <v>53</v>
      </c>
      <c r="P246" s="4"/>
      <c r="Q246" s="4"/>
      <c r="R246" s="4" t="s">
        <v>1132</v>
      </c>
      <c r="S246" s="4"/>
      <c r="T246" s="4"/>
      <c r="U246" s="4" t="s">
        <v>56</v>
      </c>
      <c r="V246" s="6"/>
      <c r="W246" s="4" t="s">
        <v>57</v>
      </c>
    </row>
    <row r="247" customFormat="false" ht="15" hidden="false" customHeight="false" outlineLevel="0" collapsed="false">
      <c r="A247" s="4" t="s">
        <v>1133</v>
      </c>
      <c r="B247" s="4" t="s">
        <v>1134</v>
      </c>
      <c r="C247" s="4" t="s">
        <v>117</v>
      </c>
      <c r="D247" s="4" t="s">
        <v>1135</v>
      </c>
      <c r="E247" s="4"/>
      <c r="F247" s="4" t="s">
        <v>1115</v>
      </c>
      <c r="G247" s="4"/>
      <c r="H247" s="4" t="s">
        <v>35</v>
      </c>
      <c r="I247" s="4"/>
      <c r="J247" s="5"/>
      <c r="K247" s="5"/>
      <c r="L247" s="4"/>
      <c r="M247" s="4" t="s">
        <v>60</v>
      </c>
      <c r="N247" s="4" t="s">
        <v>36</v>
      </c>
      <c r="O247" s="4" t="s">
        <v>53</v>
      </c>
      <c r="P247" s="4"/>
      <c r="Q247" s="4"/>
      <c r="R247" s="4" t="s">
        <v>1136</v>
      </c>
      <c r="S247" s="4"/>
      <c r="T247" s="4"/>
      <c r="U247" s="4" t="s">
        <v>56</v>
      </c>
      <c r="V247" s="6"/>
      <c r="W247" s="4" t="s">
        <v>57</v>
      </c>
    </row>
    <row r="248" customFormat="false" ht="15" hidden="false" customHeight="false" outlineLevel="0" collapsed="false">
      <c r="A248" s="4" t="s">
        <v>1137</v>
      </c>
      <c r="B248" s="4" t="s">
        <v>1138</v>
      </c>
      <c r="C248" s="4" t="s">
        <v>117</v>
      </c>
      <c r="D248" s="4" t="s">
        <v>1139</v>
      </c>
      <c r="E248" s="4"/>
      <c r="F248" s="4" t="s">
        <v>1140</v>
      </c>
      <c r="G248" s="4"/>
      <c r="H248" s="4" t="s">
        <v>35</v>
      </c>
      <c r="I248" s="4"/>
      <c r="J248" s="5"/>
      <c r="K248" s="5"/>
      <c r="L248" s="4"/>
      <c r="M248" s="4" t="s">
        <v>36</v>
      </c>
      <c r="N248" s="4" t="s">
        <v>36</v>
      </c>
      <c r="O248" s="4" t="s">
        <v>53</v>
      </c>
      <c r="P248" s="4"/>
      <c r="Q248" s="4" t="s">
        <v>1141</v>
      </c>
      <c r="R248" s="4" t="s">
        <v>1142</v>
      </c>
      <c r="S248" s="4"/>
      <c r="T248" s="4"/>
      <c r="U248" s="4" t="s">
        <v>56</v>
      </c>
      <c r="V248" s="6"/>
      <c r="W248" s="4" t="s">
        <v>57</v>
      </c>
    </row>
    <row r="249" customFormat="false" ht="15" hidden="false" customHeight="false" outlineLevel="0" collapsed="false">
      <c r="A249" s="4" t="s">
        <v>1143</v>
      </c>
      <c r="B249" s="4" t="s">
        <v>1144</v>
      </c>
      <c r="C249" s="4" t="s">
        <v>117</v>
      </c>
      <c r="D249" s="4" t="s">
        <v>1145</v>
      </c>
      <c r="E249" s="4"/>
      <c r="F249" s="4" t="s">
        <v>1140</v>
      </c>
      <c r="G249" s="4"/>
      <c r="H249" s="4" t="s">
        <v>35</v>
      </c>
      <c r="I249" s="4"/>
      <c r="J249" s="5"/>
      <c r="K249" s="5"/>
      <c r="L249" s="4"/>
      <c r="M249" s="4" t="s">
        <v>36</v>
      </c>
      <c r="N249" s="4" t="s">
        <v>36</v>
      </c>
      <c r="O249" s="4" t="s">
        <v>53</v>
      </c>
      <c r="P249" s="4"/>
      <c r="Q249" s="4"/>
      <c r="R249" s="4" t="s">
        <v>1146</v>
      </c>
      <c r="S249" s="4"/>
      <c r="T249" s="4"/>
      <c r="U249" s="4" t="s">
        <v>56</v>
      </c>
      <c r="V249" s="6"/>
      <c r="W249" s="4" t="s">
        <v>57</v>
      </c>
    </row>
    <row r="250" customFormat="false" ht="15" hidden="false" customHeight="false" outlineLevel="0" collapsed="false">
      <c r="A250" s="4" t="s">
        <v>1147</v>
      </c>
      <c r="B250" s="4" t="s">
        <v>1148</v>
      </c>
      <c r="C250" s="4" t="s">
        <v>117</v>
      </c>
      <c r="D250" s="4" t="s">
        <v>1149</v>
      </c>
      <c r="E250" s="4"/>
      <c r="F250" s="4" t="s">
        <v>1140</v>
      </c>
      <c r="G250" s="4"/>
      <c r="H250" s="4" t="s">
        <v>35</v>
      </c>
      <c r="I250" s="4"/>
      <c r="J250" s="5"/>
      <c r="K250" s="5"/>
      <c r="L250" s="4"/>
      <c r="M250" s="4" t="s">
        <v>60</v>
      </c>
      <c r="N250" s="4" t="s">
        <v>36</v>
      </c>
      <c r="O250" s="4" t="s">
        <v>53</v>
      </c>
      <c r="P250" s="4"/>
      <c r="Q250" s="4"/>
      <c r="R250" s="4" t="s">
        <v>1150</v>
      </c>
      <c r="S250" s="4"/>
      <c r="T250" s="4"/>
      <c r="U250" s="4" t="s">
        <v>56</v>
      </c>
      <c r="V250" s="6"/>
      <c r="W250" s="4" t="s">
        <v>57</v>
      </c>
    </row>
    <row r="251" customFormat="false" ht="15" hidden="false" customHeight="false" outlineLevel="0" collapsed="false">
      <c r="A251" s="4" t="s">
        <v>1151</v>
      </c>
      <c r="B251" s="4" t="s">
        <v>1152</v>
      </c>
      <c r="C251" s="4" t="s">
        <v>117</v>
      </c>
      <c r="D251" s="4" t="s">
        <v>1153</v>
      </c>
      <c r="E251" s="4"/>
      <c r="F251" s="4" t="s">
        <v>1140</v>
      </c>
      <c r="G251" s="4"/>
      <c r="H251" s="4" t="s">
        <v>35</v>
      </c>
      <c r="I251" s="4"/>
      <c r="J251" s="5"/>
      <c r="K251" s="5"/>
      <c r="L251" s="4"/>
      <c r="M251" s="4" t="s">
        <v>60</v>
      </c>
      <c r="N251" s="4" t="s">
        <v>36</v>
      </c>
      <c r="O251" s="4" t="s">
        <v>53</v>
      </c>
      <c r="P251" s="4"/>
      <c r="Q251" s="4"/>
      <c r="R251" s="4" t="s">
        <v>1154</v>
      </c>
      <c r="S251" s="4"/>
      <c r="T251" s="4"/>
      <c r="U251" s="4" t="s">
        <v>56</v>
      </c>
      <c r="V251" s="6"/>
      <c r="W251" s="4" t="s">
        <v>57</v>
      </c>
    </row>
    <row r="252" customFormat="false" ht="15" hidden="false" customHeight="false" outlineLevel="0" collapsed="false">
      <c r="A252" s="4" t="s">
        <v>1155</v>
      </c>
      <c r="B252" s="4" t="s">
        <v>1156</v>
      </c>
      <c r="C252" s="4" t="s">
        <v>117</v>
      </c>
      <c r="D252" s="4" t="s">
        <v>1157</v>
      </c>
      <c r="E252" s="4"/>
      <c r="F252" s="4" t="s">
        <v>1140</v>
      </c>
      <c r="G252" s="4"/>
      <c r="H252" s="4" t="s">
        <v>35</v>
      </c>
      <c r="I252" s="4"/>
      <c r="J252" s="5"/>
      <c r="K252" s="5"/>
      <c r="L252" s="4"/>
      <c r="M252" s="4" t="s">
        <v>60</v>
      </c>
      <c r="N252" s="4" t="s">
        <v>36</v>
      </c>
      <c r="O252" s="4" t="s">
        <v>53</v>
      </c>
      <c r="P252" s="4"/>
      <c r="Q252" s="4"/>
      <c r="R252" s="4" t="s">
        <v>1158</v>
      </c>
      <c r="S252" s="4"/>
      <c r="T252" s="4"/>
      <c r="U252" s="4" t="s">
        <v>56</v>
      </c>
      <c r="V252" s="6"/>
      <c r="W252" s="4" t="s">
        <v>57</v>
      </c>
    </row>
    <row r="253" customFormat="false" ht="15" hidden="false" customHeight="false" outlineLevel="0" collapsed="false">
      <c r="A253" s="4" t="s">
        <v>1159</v>
      </c>
      <c r="B253" s="4" t="s">
        <v>1160</v>
      </c>
      <c r="C253" s="4" t="s">
        <v>117</v>
      </c>
      <c r="D253" s="4" t="s">
        <v>1161</v>
      </c>
      <c r="E253" s="4"/>
      <c r="F253" s="4" t="s">
        <v>1140</v>
      </c>
      <c r="G253" s="4"/>
      <c r="H253" s="4" t="s">
        <v>35</v>
      </c>
      <c r="I253" s="4"/>
      <c r="J253" s="5"/>
      <c r="K253" s="5"/>
      <c r="L253" s="4"/>
      <c r="M253" s="4" t="s">
        <v>60</v>
      </c>
      <c r="N253" s="4" t="s">
        <v>36</v>
      </c>
      <c r="O253" s="4" t="s">
        <v>53</v>
      </c>
      <c r="P253" s="4"/>
      <c r="Q253" s="4" t="s">
        <v>1162</v>
      </c>
      <c r="R253" s="4" t="s">
        <v>1163</v>
      </c>
      <c r="S253" s="4"/>
      <c r="T253" s="4"/>
      <c r="U253" s="4" t="s">
        <v>56</v>
      </c>
      <c r="V253" s="6"/>
      <c r="W253" s="4" t="s">
        <v>57</v>
      </c>
    </row>
    <row r="254" customFormat="false" ht="15" hidden="false" customHeight="false" outlineLevel="0" collapsed="false">
      <c r="A254" s="4" t="s">
        <v>1164</v>
      </c>
      <c r="B254" s="4" t="s">
        <v>1165</v>
      </c>
      <c r="C254" s="4" t="s">
        <v>32</v>
      </c>
      <c r="D254" s="4" t="s">
        <v>1166</v>
      </c>
      <c r="E254" s="4"/>
      <c r="F254" s="4" t="s">
        <v>1167</v>
      </c>
      <c r="G254" s="4"/>
      <c r="H254" s="4" t="s">
        <v>35</v>
      </c>
      <c r="I254" s="4"/>
      <c r="J254" s="5"/>
      <c r="K254" s="5"/>
      <c r="L254" s="4"/>
      <c r="M254" s="4" t="s">
        <v>36</v>
      </c>
      <c r="N254" s="4" t="s">
        <v>36</v>
      </c>
      <c r="O254" s="4" t="s">
        <v>53</v>
      </c>
      <c r="P254" s="4"/>
      <c r="Q254" s="4" t="s">
        <v>1168</v>
      </c>
      <c r="R254" s="4" t="s">
        <v>1169</v>
      </c>
      <c r="S254" s="4"/>
      <c r="T254" s="4"/>
      <c r="U254" s="4" t="s">
        <v>56</v>
      </c>
      <c r="V254" s="6"/>
      <c r="W254" s="4" t="s">
        <v>57</v>
      </c>
    </row>
    <row r="255" customFormat="false" ht="15" hidden="false" customHeight="false" outlineLevel="0" collapsed="false">
      <c r="A255" s="4" t="s">
        <v>1170</v>
      </c>
      <c r="B255" s="4" t="s">
        <v>1171</v>
      </c>
      <c r="C255" s="4" t="s">
        <v>117</v>
      </c>
      <c r="D255" s="4" t="s">
        <v>1172</v>
      </c>
      <c r="E255" s="4"/>
      <c r="F255" s="4" t="s">
        <v>1167</v>
      </c>
      <c r="G255" s="4"/>
      <c r="H255" s="4" t="s">
        <v>35</v>
      </c>
      <c r="I255" s="4"/>
      <c r="J255" s="5"/>
      <c r="K255" s="5"/>
      <c r="L255" s="4"/>
      <c r="M255" s="4" t="s">
        <v>60</v>
      </c>
      <c r="N255" s="4" t="s">
        <v>36</v>
      </c>
      <c r="O255" s="4" t="s">
        <v>53</v>
      </c>
      <c r="P255" s="4"/>
      <c r="Q255" s="4"/>
      <c r="R255" s="4" t="s">
        <v>1173</v>
      </c>
      <c r="S255" s="4"/>
      <c r="T255" s="4"/>
      <c r="U255" s="4" t="s">
        <v>56</v>
      </c>
      <c r="V255" s="6"/>
      <c r="W255" s="4" t="s">
        <v>57</v>
      </c>
    </row>
    <row r="256" customFormat="false" ht="15" hidden="false" customHeight="false" outlineLevel="0" collapsed="false">
      <c r="A256" s="4" t="s">
        <v>1174</v>
      </c>
      <c r="B256" s="4" t="s">
        <v>1175</v>
      </c>
      <c r="C256" s="4" t="s">
        <v>117</v>
      </c>
      <c r="D256" s="4" t="s">
        <v>1176</v>
      </c>
      <c r="E256" s="4"/>
      <c r="F256" s="4" t="s">
        <v>1167</v>
      </c>
      <c r="G256" s="4"/>
      <c r="H256" s="4" t="s">
        <v>35</v>
      </c>
      <c r="I256" s="4"/>
      <c r="J256" s="5"/>
      <c r="K256" s="5"/>
      <c r="L256" s="4"/>
      <c r="M256" s="4" t="s">
        <v>60</v>
      </c>
      <c r="N256" s="4" t="s">
        <v>36</v>
      </c>
      <c r="O256" s="4" t="s">
        <v>53</v>
      </c>
      <c r="P256" s="4"/>
      <c r="Q256" s="4"/>
      <c r="R256" s="4" t="s">
        <v>1177</v>
      </c>
      <c r="S256" s="4"/>
      <c r="T256" s="4"/>
      <c r="U256" s="4" t="s">
        <v>56</v>
      </c>
      <c r="V256" s="6"/>
      <c r="W256" s="4" t="s">
        <v>57</v>
      </c>
    </row>
    <row r="257" customFormat="false" ht="15" hidden="false" customHeight="false" outlineLevel="0" collapsed="false">
      <c r="A257" s="4" t="s">
        <v>1178</v>
      </c>
      <c r="B257" s="4" t="s">
        <v>1179</v>
      </c>
      <c r="C257" s="4" t="s">
        <v>117</v>
      </c>
      <c r="D257" s="4" t="s">
        <v>1180</v>
      </c>
      <c r="E257" s="4"/>
      <c r="F257" s="4" t="s">
        <v>1167</v>
      </c>
      <c r="G257" s="4"/>
      <c r="H257" s="4" t="s">
        <v>35</v>
      </c>
      <c r="I257" s="4"/>
      <c r="J257" s="5"/>
      <c r="K257" s="5"/>
      <c r="L257" s="4"/>
      <c r="M257" s="4" t="s">
        <v>60</v>
      </c>
      <c r="N257" s="4" t="s">
        <v>36</v>
      </c>
      <c r="O257" s="4" t="s">
        <v>53</v>
      </c>
      <c r="P257" s="4"/>
      <c r="Q257" s="4"/>
      <c r="R257" s="4" t="s">
        <v>1181</v>
      </c>
      <c r="S257" s="4"/>
      <c r="T257" s="4"/>
      <c r="U257" s="4" t="s">
        <v>56</v>
      </c>
      <c r="V257" s="6"/>
      <c r="W257" s="4" t="s">
        <v>57</v>
      </c>
    </row>
    <row r="258" customFormat="false" ht="15" hidden="false" customHeight="false" outlineLevel="0" collapsed="false">
      <c r="A258" s="4" t="s">
        <v>1182</v>
      </c>
      <c r="B258" s="4" t="s">
        <v>1183</v>
      </c>
      <c r="C258" s="4" t="s">
        <v>117</v>
      </c>
      <c r="D258" s="4" t="s">
        <v>1184</v>
      </c>
      <c r="E258" s="4"/>
      <c r="F258" s="4" t="s">
        <v>1167</v>
      </c>
      <c r="G258" s="4"/>
      <c r="H258" s="4" t="s">
        <v>35</v>
      </c>
      <c r="I258" s="4"/>
      <c r="J258" s="5"/>
      <c r="K258" s="5"/>
      <c r="L258" s="4"/>
      <c r="M258" s="4" t="s">
        <v>60</v>
      </c>
      <c r="N258" s="4" t="s">
        <v>36</v>
      </c>
      <c r="O258" s="4" t="s">
        <v>53</v>
      </c>
      <c r="P258" s="4"/>
      <c r="Q258" s="4"/>
      <c r="R258" s="4" t="s">
        <v>1185</v>
      </c>
      <c r="S258" s="4"/>
      <c r="T258" s="4"/>
      <c r="U258" s="4" t="s">
        <v>56</v>
      </c>
      <c r="V258" s="6"/>
      <c r="W258" s="4" t="s">
        <v>57</v>
      </c>
    </row>
    <row r="259" customFormat="false" ht="15" hidden="false" customHeight="false" outlineLevel="0" collapsed="false">
      <c r="A259" s="4" t="s">
        <v>1186</v>
      </c>
      <c r="B259" s="4" t="s">
        <v>1187</v>
      </c>
      <c r="C259" s="4" t="s">
        <v>117</v>
      </c>
      <c r="D259" s="4" t="s">
        <v>1188</v>
      </c>
      <c r="E259" s="4"/>
      <c r="F259" s="4" t="s">
        <v>1189</v>
      </c>
      <c r="G259" s="4"/>
      <c r="H259" s="4" t="s">
        <v>35</v>
      </c>
      <c r="I259" s="4"/>
      <c r="J259" s="5"/>
      <c r="K259" s="5"/>
      <c r="L259" s="4"/>
      <c r="M259" s="4" t="s">
        <v>36</v>
      </c>
      <c r="N259" s="4" t="s">
        <v>36</v>
      </c>
      <c r="O259" s="4" t="s">
        <v>53</v>
      </c>
      <c r="P259" s="4"/>
      <c r="Q259" s="4" t="s">
        <v>1190</v>
      </c>
      <c r="R259" s="4" t="s">
        <v>1191</v>
      </c>
      <c r="S259" s="4"/>
      <c r="T259" s="4"/>
      <c r="U259" s="4" t="s">
        <v>56</v>
      </c>
      <c r="V259" s="6"/>
      <c r="W259" s="4" t="s">
        <v>57</v>
      </c>
    </row>
    <row r="260" customFormat="false" ht="15" hidden="false" customHeight="false" outlineLevel="0" collapsed="false">
      <c r="A260" s="4" t="s">
        <v>1192</v>
      </c>
      <c r="B260" s="4" t="s">
        <v>1193</v>
      </c>
      <c r="C260" s="4" t="s">
        <v>117</v>
      </c>
      <c r="D260" s="4" t="s">
        <v>1194</v>
      </c>
      <c r="E260" s="4"/>
      <c r="F260" s="4" t="s">
        <v>1189</v>
      </c>
      <c r="G260" s="4"/>
      <c r="H260" s="4" t="s">
        <v>35</v>
      </c>
      <c r="I260" s="4"/>
      <c r="J260" s="5"/>
      <c r="K260" s="5"/>
      <c r="L260" s="4"/>
      <c r="M260" s="4" t="s">
        <v>36</v>
      </c>
      <c r="N260" s="4" t="s">
        <v>36</v>
      </c>
      <c r="O260" s="4" t="s">
        <v>53</v>
      </c>
      <c r="P260" s="4"/>
      <c r="Q260" s="4" t="s">
        <v>1195</v>
      </c>
      <c r="R260" s="4" t="s">
        <v>1196</v>
      </c>
      <c r="S260" s="4"/>
      <c r="T260" s="4"/>
      <c r="U260" s="4" t="s">
        <v>56</v>
      </c>
      <c r="V260" s="6"/>
      <c r="W260" s="4" t="s">
        <v>57</v>
      </c>
    </row>
    <row r="261" customFormat="false" ht="15" hidden="false" customHeight="false" outlineLevel="0" collapsed="false">
      <c r="A261" s="4" t="s">
        <v>1197</v>
      </c>
      <c r="B261" s="4" t="s">
        <v>1198</v>
      </c>
      <c r="C261" s="4" t="s">
        <v>117</v>
      </c>
      <c r="D261" s="4" t="s">
        <v>1199</v>
      </c>
      <c r="E261" s="4"/>
      <c r="F261" s="4" t="s">
        <v>1189</v>
      </c>
      <c r="G261" s="4"/>
      <c r="H261" s="4" t="s">
        <v>35</v>
      </c>
      <c r="I261" s="4"/>
      <c r="J261" s="5"/>
      <c r="K261" s="5"/>
      <c r="L261" s="4"/>
      <c r="M261" s="4" t="s">
        <v>60</v>
      </c>
      <c r="N261" s="4" t="s">
        <v>36</v>
      </c>
      <c r="O261" s="4" t="s">
        <v>53</v>
      </c>
      <c r="P261" s="4"/>
      <c r="Q261" s="4"/>
      <c r="R261" s="4" t="s">
        <v>1200</v>
      </c>
      <c r="S261" s="4"/>
      <c r="T261" s="4"/>
      <c r="U261" s="4" t="s">
        <v>56</v>
      </c>
      <c r="V261" s="6"/>
      <c r="W261" s="4" t="s">
        <v>57</v>
      </c>
    </row>
    <row r="262" customFormat="false" ht="15" hidden="false" customHeight="false" outlineLevel="0" collapsed="false">
      <c r="A262" s="4" t="s">
        <v>1201</v>
      </c>
      <c r="B262" s="4" t="s">
        <v>1202</v>
      </c>
      <c r="C262" s="4" t="s">
        <v>117</v>
      </c>
      <c r="D262" s="4" t="s">
        <v>1203</v>
      </c>
      <c r="E262" s="4"/>
      <c r="F262" s="4" t="s">
        <v>1189</v>
      </c>
      <c r="G262" s="4"/>
      <c r="H262" s="4" t="s">
        <v>35</v>
      </c>
      <c r="I262" s="4"/>
      <c r="J262" s="5"/>
      <c r="K262" s="5"/>
      <c r="L262" s="4"/>
      <c r="M262" s="4" t="s">
        <v>60</v>
      </c>
      <c r="N262" s="4" t="s">
        <v>36</v>
      </c>
      <c r="O262" s="4" t="s">
        <v>53</v>
      </c>
      <c r="P262" s="4"/>
      <c r="Q262" s="4"/>
      <c r="R262" s="4" t="s">
        <v>1204</v>
      </c>
      <c r="S262" s="4"/>
      <c r="T262" s="4"/>
      <c r="U262" s="4" t="s">
        <v>56</v>
      </c>
      <c r="V262" s="6"/>
      <c r="W262" s="4" t="s">
        <v>57</v>
      </c>
    </row>
    <row r="263" customFormat="false" ht="15" hidden="false" customHeight="false" outlineLevel="0" collapsed="false">
      <c r="A263" s="4" t="s">
        <v>1205</v>
      </c>
      <c r="B263" s="4" t="s">
        <v>1206</v>
      </c>
      <c r="C263" s="4" t="s">
        <v>117</v>
      </c>
      <c r="D263" s="4" t="s">
        <v>1207</v>
      </c>
      <c r="E263" s="4"/>
      <c r="F263" s="4" t="s">
        <v>1189</v>
      </c>
      <c r="G263" s="4"/>
      <c r="H263" s="4" t="s">
        <v>35</v>
      </c>
      <c r="I263" s="4"/>
      <c r="J263" s="5"/>
      <c r="K263" s="5"/>
      <c r="L263" s="4"/>
      <c r="M263" s="4" t="s">
        <v>60</v>
      </c>
      <c r="N263" s="4" t="s">
        <v>36</v>
      </c>
      <c r="O263" s="4" t="s">
        <v>53</v>
      </c>
      <c r="P263" s="4"/>
      <c r="Q263" s="4"/>
      <c r="R263" s="4" t="s">
        <v>1208</v>
      </c>
      <c r="S263" s="4"/>
      <c r="T263" s="4"/>
      <c r="U263" s="4" t="s">
        <v>56</v>
      </c>
      <c r="V263" s="6"/>
      <c r="W263" s="4" t="s">
        <v>57</v>
      </c>
    </row>
    <row r="264" customFormat="false" ht="15" hidden="false" customHeight="false" outlineLevel="0" collapsed="false">
      <c r="A264" s="4" t="s">
        <v>1209</v>
      </c>
      <c r="B264" s="4" t="s">
        <v>1210</v>
      </c>
      <c r="C264" s="4" t="s">
        <v>117</v>
      </c>
      <c r="D264" s="4" t="s">
        <v>1211</v>
      </c>
      <c r="E264" s="4"/>
      <c r="F264" s="4" t="s">
        <v>1189</v>
      </c>
      <c r="G264" s="4"/>
      <c r="H264" s="4" t="s">
        <v>35</v>
      </c>
      <c r="I264" s="4"/>
      <c r="J264" s="5"/>
      <c r="K264" s="5"/>
      <c r="L264" s="4"/>
      <c r="M264" s="4" t="s">
        <v>60</v>
      </c>
      <c r="N264" s="4" t="s">
        <v>36</v>
      </c>
      <c r="O264" s="4" t="s">
        <v>53</v>
      </c>
      <c r="P264" s="4"/>
      <c r="Q264" s="4"/>
      <c r="R264" s="4" t="s">
        <v>1212</v>
      </c>
      <c r="S264" s="4"/>
      <c r="T264" s="4"/>
      <c r="U264" s="4" t="s">
        <v>56</v>
      </c>
      <c r="V264" s="6"/>
      <c r="W264" s="4" t="s">
        <v>57</v>
      </c>
    </row>
    <row r="265" customFormat="false" ht="15" hidden="false" customHeight="false" outlineLevel="0" collapsed="false">
      <c r="A265" s="4" t="s">
        <v>1213</v>
      </c>
      <c r="B265" s="4" t="s">
        <v>1214</v>
      </c>
      <c r="C265" s="4" t="s">
        <v>117</v>
      </c>
      <c r="D265" s="4" t="s">
        <v>1215</v>
      </c>
      <c r="E265" s="4"/>
      <c r="F265" s="4" t="s">
        <v>1189</v>
      </c>
      <c r="G265" s="4"/>
      <c r="H265" s="4" t="s">
        <v>35</v>
      </c>
      <c r="I265" s="4"/>
      <c r="J265" s="5"/>
      <c r="K265" s="5"/>
      <c r="L265" s="4"/>
      <c r="M265" s="4" t="s">
        <v>60</v>
      </c>
      <c r="N265" s="4" t="s">
        <v>36</v>
      </c>
      <c r="O265" s="4" t="s">
        <v>53</v>
      </c>
      <c r="P265" s="4"/>
      <c r="Q265" s="4"/>
      <c r="R265" s="4" t="s">
        <v>1216</v>
      </c>
      <c r="S265" s="4"/>
      <c r="T265" s="4"/>
      <c r="U265" s="4" t="s">
        <v>56</v>
      </c>
      <c r="V265" s="6"/>
      <c r="W265" s="4" t="s">
        <v>57</v>
      </c>
    </row>
    <row r="266" customFormat="false" ht="15" hidden="false" customHeight="false" outlineLevel="0" collapsed="false">
      <c r="A266" s="4" t="s">
        <v>1217</v>
      </c>
      <c r="B266" s="4" t="s">
        <v>1218</v>
      </c>
      <c r="C266" s="4" t="s">
        <v>320</v>
      </c>
      <c r="D266" s="4" t="s">
        <v>1219</v>
      </c>
      <c r="E266" s="4"/>
      <c r="F266" s="4" t="s">
        <v>1220</v>
      </c>
      <c r="G266" s="4"/>
      <c r="H266" s="4" t="s">
        <v>35</v>
      </c>
      <c r="I266" s="4"/>
      <c r="J266" s="5"/>
      <c r="K266" s="5"/>
      <c r="L266" s="4"/>
      <c r="M266" s="4" t="s">
        <v>36</v>
      </c>
      <c r="N266" s="4" t="s">
        <v>36</v>
      </c>
      <c r="O266" s="4" t="s">
        <v>53</v>
      </c>
      <c r="P266" s="4"/>
      <c r="Q266" s="4" t="s">
        <v>1221</v>
      </c>
      <c r="R266" s="4" t="s">
        <v>1222</v>
      </c>
      <c r="S266" s="4"/>
      <c r="T266" s="4"/>
      <c r="U266" s="4" t="s">
        <v>56</v>
      </c>
      <c r="V266" s="6"/>
      <c r="W266" s="4" t="s">
        <v>57</v>
      </c>
    </row>
    <row r="267" customFormat="false" ht="15" hidden="false" customHeight="false" outlineLevel="0" collapsed="false">
      <c r="A267" s="4" t="s">
        <v>1223</v>
      </c>
      <c r="B267" s="4" t="s">
        <v>1224</v>
      </c>
      <c r="C267" s="4" t="s">
        <v>117</v>
      </c>
      <c r="D267" s="4" t="s">
        <v>1225</v>
      </c>
      <c r="E267" s="4"/>
      <c r="F267" s="4" t="s">
        <v>1220</v>
      </c>
      <c r="G267" s="4"/>
      <c r="H267" s="4" t="s">
        <v>35</v>
      </c>
      <c r="I267" s="4"/>
      <c r="J267" s="5"/>
      <c r="K267" s="5"/>
      <c r="L267" s="4"/>
      <c r="M267" s="4" t="s">
        <v>36</v>
      </c>
      <c r="N267" s="4" t="s">
        <v>36</v>
      </c>
      <c r="O267" s="4" t="s">
        <v>53</v>
      </c>
      <c r="P267" s="4"/>
      <c r="Q267" s="4" t="s">
        <v>1226</v>
      </c>
      <c r="R267" s="4" t="s">
        <v>1227</v>
      </c>
      <c r="S267" s="4"/>
      <c r="T267" s="4"/>
      <c r="U267" s="4" t="s">
        <v>56</v>
      </c>
      <c r="V267" s="6"/>
      <c r="W267" s="4" t="s">
        <v>57</v>
      </c>
    </row>
    <row r="268" customFormat="false" ht="15" hidden="false" customHeight="false" outlineLevel="0" collapsed="false">
      <c r="A268" s="4" t="s">
        <v>1228</v>
      </c>
      <c r="B268" s="4" t="s">
        <v>1229</v>
      </c>
      <c r="C268" s="4" t="s">
        <v>117</v>
      </c>
      <c r="D268" s="4" t="s">
        <v>1230</v>
      </c>
      <c r="E268" s="4"/>
      <c r="F268" s="4" t="s">
        <v>1220</v>
      </c>
      <c r="G268" s="4"/>
      <c r="H268" s="4" t="s">
        <v>35</v>
      </c>
      <c r="I268" s="4"/>
      <c r="J268" s="5"/>
      <c r="K268" s="5"/>
      <c r="L268" s="4"/>
      <c r="M268" s="4" t="s">
        <v>36</v>
      </c>
      <c r="N268" s="4" t="s">
        <v>36</v>
      </c>
      <c r="O268" s="4" t="s">
        <v>53</v>
      </c>
      <c r="P268" s="4"/>
      <c r="Q268" s="4" t="s">
        <v>1231</v>
      </c>
      <c r="R268" s="4" t="s">
        <v>1232</v>
      </c>
      <c r="S268" s="4"/>
      <c r="T268" s="4"/>
      <c r="U268" s="4" t="s">
        <v>56</v>
      </c>
      <c r="V268" s="6"/>
      <c r="W268" s="4" t="s">
        <v>57</v>
      </c>
    </row>
    <row r="269" customFormat="false" ht="15" hidden="false" customHeight="false" outlineLevel="0" collapsed="false">
      <c r="A269" s="4" t="s">
        <v>1233</v>
      </c>
      <c r="B269" s="4" t="s">
        <v>1234</v>
      </c>
      <c r="C269" s="4" t="s">
        <v>117</v>
      </c>
      <c r="D269" s="4" t="s">
        <v>1235</v>
      </c>
      <c r="E269" s="4"/>
      <c r="F269" s="4" t="s">
        <v>1220</v>
      </c>
      <c r="G269" s="4"/>
      <c r="H269" s="4" t="s">
        <v>35</v>
      </c>
      <c r="I269" s="4"/>
      <c r="J269" s="5"/>
      <c r="K269" s="5"/>
      <c r="L269" s="4"/>
      <c r="M269" s="4" t="s">
        <v>36</v>
      </c>
      <c r="N269" s="4" t="s">
        <v>36</v>
      </c>
      <c r="O269" s="4" t="s">
        <v>53</v>
      </c>
      <c r="P269" s="4"/>
      <c r="Q269" s="4" t="s">
        <v>1236</v>
      </c>
      <c r="R269" s="4" t="s">
        <v>1237</v>
      </c>
      <c r="S269" s="4"/>
      <c r="T269" s="4"/>
      <c r="U269" s="4" t="s">
        <v>56</v>
      </c>
      <c r="V269" s="6"/>
      <c r="W269" s="4" t="s">
        <v>57</v>
      </c>
    </row>
    <row r="270" customFormat="false" ht="15" hidden="false" customHeight="false" outlineLevel="0" collapsed="false">
      <c r="A270" s="4" t="s">
        <v>1238</v>
      </c>
      <c r="B270" s="4" t="s">
        <v>1239</v>
      </c>
      <c r="C270" s="4" t="s">
        <v>117</v>
      </c>
      <c r="D270" s="4" t="s">
        <v>1240</v>
      </c>
      <c r="E270" s="4"/>
      <c r="F270" s="4" t="s">
        <v>1220</v>
      </c>
      <c r="G270" s="4"/>
      <c r="H270" s="4" t="s">
        <v>35</v>
      </c>
      <c r="I270" s="4"/>
      <c r="J270" s="5"/>
      <c r="K270" s="5"/>
      <c r="L270" s="4"/>
      <c r="M270" s="4" t="s">
        <v>36</v>
      </c>
      <c r="N270" s="4" t="s">
        <v>36</v>
      </c>
      <c r="O270" s="4" t="s">
        <v>53</v>
      </c>
      <c r="P270" s="4"/>
      <c r="Q270" s="4"/>
      <c r="R270" s="4" t="s">
        <v>1241</v>
      </c>
      <c r="S270" s="4"/>
      <c r="T270" s="4"/>
      <c r="U270" s="4" t="s">
        <v>56</v>
      </c>
      <c r="V270" s="6"/>
      <c r="W270" s="4" t="s">
        <v>57</v>
      </c>
    </row>
    <row r="271" customFormat="false" ht="15" hidden="false" customHeight="false" outlineLevel="0" collapsed="false">
      <c r="A271" s="4" t="s">
        <v>1242</v>
      </c>
      <c r="B271" s="4" t="s">
        <v>1243</v>
      </c>
      <c r="C271" s="4" t="s">
        <v>117</v>
      </c>
      <c r="D271" s="4" t="s">
        <v>1244</v>
      </c>
      <c r="E271" s="4"/>
      <c r="F271" s="4" t="s">
        <v>1220</v>
      </c>
      <c r="G271" s="4"/>
      <c r="H271" s="4" t="s">
        <v>35</v>
      </c>
      <c r="I271" s="4"/>
      <c r="J271" s="5"/>
      <c r="K271" s="5"/>
      <c r="L271" s="4"/>
      <c r="M271" s="4" t="s">
        <v>36</v>
      </c>
      <c r="N271" s="4" t="s">
        <v>36</v>
      </c>
      <c r="O271" s="4" t="s">
        <v>53</v>
      </c>
      <c r="P271" s="4"/>
      <c r="Q271" s="4"/>
      <c r="R271" s="4" t="s">
        <v>1245</v>
      </c>
      <c r="S271" s="4"/>
      <c r="T271" s="4"/>
      <c r="U271" s="4" t="s">
        <v>56</v>
      </c>
      <c r="V271" s="6"/>
      <c r="W271" s="4" t="s">
        <v>57</v>
      </c>
    </row>
    <row r="272" customFormat="false" ht="15" hidden="false" customHeight="false" outlineLevel="0" collapsed="false">
      <c r="A272" s="4" t="s">
        <v>1246</v>
      </c>
      <c r="B272" s="4" t="s">
        <v>1247</v>
      </c>
      <c r="C272" s="4" t="s">
        <v>117</v>
      </c>
      <c r="D272" s="4" t="s">
        <v>1248</v>
      </c>
      <c r="E272" s="4"/>
      <c r="F272" s="4" t="s">
        <v>1220</v>
      </c>
      <c r="G272" s="4"/>
      <c r="H272" s="4" t="s">
        <v>35</v>
      </c>
      <c r="I272" s="4"/>
      <c r="J272" s="5"/>
      <c r="K272" s="5"/>
      <c r="L272" s="4"/>
      <c r="M272" s="4" t="s">
        <v>60</v>
      </c>
      <c r="N272" s="4" t="s">
        <v>36</v>
      </c>
      <c r="O272" s="4" t="s">
        <v>53</v>
      </c>
      <c r="P272" s="4"/>
      <c r="Q272" s="4" t="s">
        <v>1249</v>
      </c>
      <c r="R272" s="4" t="s">
        <v>1250</v>
      </c>
      <c r="S272" s="4"/>
      <c r="T272" s="4"/>
      <c r="U272" s="4" t="s">
        <v>56</v>
      </c>
      <c r="V272" s="6"/>
      <c r="W272" s="4" t="s">
        <v>57</v>
      </c>
    </row>
    <row r="273" customFormat="false" ht="15" hidden="false" customHeight="false" outlineLevel="0" collapsed="false">
      <c r="A273" s="4" t="s">
        <v>1251</v>
      </c>
      <c r="B273" s="4" t="s">
        <v>1252</v>
      </c>
      <c r="C273" s="4" t="s">
        <v>117</v>
      </c>
      <c r="D273" s="4" t="s">
        <v>1253</v>
      </c>
      <c r="E273" s="4"/>
      <c r="F273" s="4" t="s">
        <v>1220</v>
      </c>
      <c r="G273" s="4"/>
      <c r="H273" s="4" t="s">
        <v>35</v>
      </c>
      <c r="I273" s="4"/>
      <c r="J273" s="5"/>
      <c r="K273" s="5"/>
      <c r="L273" s="4"/>
      <c r="M273" s="4" t="s">
        <v>60</v>
      </c>
      <c r="N273" s="4" t="s">
        <v>36</v>
      </c>
      <c r="O273" s="4" t="s">
        <v>53</v>
      </c>
      <c r="P273" s="4"/>
      <c r="Q273" s="4"/>
      <c r="R273" s="4" t="s">
        <v>1254</v>
      </c>
      <c r="S273" s="4"/>
      <c r="T273" s="4"/>
      <c r="U273" s="4" t="s">
        <v>56</v>
      </c>
      <c r="V273" s="6"/>
      <c r="W273" s="4" t="s">
        <v>57</v>
      </c>
    </row>
    <row r="274" customFormat="false" ht="15" hidden="false" customHeight="false" outlineLevel="0" collapsed="false">
      <c r="A274" s="4" t="s">
        <v>1255</v>
      </c>
      <c r="B274" s="4" t="s">
        <v>1256</v>
      </c>
      <c r="C274" s="4" t="s">
        <v>117</v>
      </c>
      <c r="D274" s="4" t="s">
        <v>1257</v>
      </c>
      <c r="E274" s="4"/>
      <c r="F274" s="4" t="s">
        <v>1220</v>
      </c>
      <c r="G274" s="4"/>
      <c r="H274" s="4" t="s">
        <v>35</v>
      </c>
      <c r="I274" s="4"/>
      <c r="J274" s="5"/>
      <c r="K274" s="5"/>
      <c r="L274" s="4"/>
      <c r="M274" s="4" t="s">
        <v>60</v>
      </c>
      <c r="N274" s="4" t="s">
        <v>36</v>
      </c>
      <c r="O274" s="4" t="s">
        <v>53</v>
      </c>
      <c r="P274" s="4"/>
      <c r="Q274" s="4"/>
      <c r="R274" s="4" t="s">
        <v>1258</v>
      </c>
      <c r="S274" s="4"/>
      <c r="T274" s="4"/>
      <c r="U274" s="4" t="s">
        <v>56</v>
      </c>
      <c r="V274" s="6"/>
      <c r="W274" s="4" t="s">
        <v>57</v>
      </c>
    </row>
    <row r="275" customFormat="false" ht="15" hidden="false" customHeight="false" outlineLevel="0" collapsed="false">
      <c r="A275" s="4" t="s">
        <v>1259</v>
      </c>
      <c r="B275" s="4" t="s">
        <v>1260</v>
      </c>
      <c r="C275" s="4" t="s">
        <v>117</v>
      </c>
      <c r="D275" s="4" t="s">
        <v>1261</v>
      </c>
      <c r="E275" s="4"/>
      <c r="F275" s="4" t="s">
        <v>1220</v>
      </c>
      <c r="G275" s="4"/>
      <c r="H275" s="4" t="s">
        <v>35</v>
      </c>
      <c r="I275" s="4"/>
      <c r="J275" s="5"/>
      <c r="K275" s="5"/>
      <c r="L275" s="4"/>
      <c r="M275" s="4" t="s">
        <v>60</v>
      </c>
      <c r="N275" s="4" t="s">
        <v>36</v>
      </c>
      <c r="O275" s="4" t="s">
        <v>53</v>
      </c>
      <c r="P275" s="4"/>
      <c r="Q275" s="4"/>
      <c r="R275" s="4" t="s">
        <v>1262</v>
      </c>
      <c r="S275" s="4"/>
      <c r="T275" s="4"/>
      <c r="U275" s="4" t="s">
        <v>56</v>
      </c>
      <c r="V275" s="6"/>
      <c r="W275" s="4" t="s">
        <v>57</v>
      </c>
    </row>
    <row r="276" customFormat="false" ht="15" hidden="false" customHeight="false" outlineLevel="0" collapsed="false">
      <c r="A276" s="4" t="s">
        <v>1263</v>
      </c>
      <c r="B276" s="4" t="s">
        <v>1264</v>
      </c>
      <c r="C276" s="4" t="s">
        <v>117</v>
      </c>
      <c r="D276" s="4" t="s">
        <v>1265</v>
      </c>
      <c r="E276" s="4"/>
      <c r="F276" s="4" t="s">
        <v>1220</v>
      </c>
      <c r="G276" s="4"/>
      <c r="H276" s="4" t="s">
        <v>35</v>
      </c>
      <c r="I276" s="4"/>
      <c r="J276" s="5"/>
      <c r="K276" s="5"/>
      <c r="L276" s="4"/>
      <c r="M276" s="4" t="s">
        <v>60</v>
      </c>
      <c r="N276" s="4" t="s">
        <v>36</v>
      </c>
      <c r="O276" s="4" t="s">
        <v>53</v>
      </c>
      <c r="P276" s="4"/>
      <c r="Q276" s="4"/>
      <c r="R276" s="4" t="s">
        <v>1266</v>
      </c>
      <c r="S276" s="4"/>
      <c r="T276" s="4"/>
      <c r="U276" s="4" t="s">
        <v>56</v>
      </c>
      <c r="V276" s="6"/>
      <c r="W276" s="4" t="s">
        <v>57</v>
      </c>
    </row>
    <row r="277" customFormat="false" ht="15" hidden="false" customHeight="false" outlineLevel="0" collapsed="false">
      <c r="A277" s="4" t="s">
        <v>1267</v>
      </c>
      <c r="B277" s="4" t="s">
        <v>1268</v>
      </c>
      <c r="C277" s="4" t="s">
        <v>117</v>
      </c>
      <c r="D277" s="4" t="s">
        <v>1269</v>
      </c>
      <c r="E277" s="4"/>
      <c r="F277" s="4" t="s">
        <v>1220</v>
      </c>
      <c r="G277" s="4"/>
      <c r="H277" s="4" t="s">
        <v>35</v>
      </c>
      <c r="I277" s="4"/>
      <c r="J277" s="5"/>
      <c r="K277" s="5"/>
      <c r="L277" s="4"/>
      <c r="M277" s="4" t="s">
        <v>60</v>
      </c>
      <c r="N277" s="4" t="s">
        <v>36</v>
      </c>
      <c r="O277" s="4" t="s">
        <v>53</v>
      </c>
      <c r="P277" s="4"/>
      <c r="Q277" s="4"/>
      <c r="R277" s="4" t="s">
        <v>1270</v>
      </c>
      <c r="S277" s="4"/>
      <c r="T277" s="4"/>
      <c r="U277" s="4" t="s">
        <v>56</v>
      </c>
      <c r="V277" s="6"/>
      <c r="W277" s="4" t="s">
        <v>57</v>
      </c>
    </row>
    <row r="278" customFormat="false" ht="15" hidden="false" customHeight="false" outlineLevel="0" collapsed="false">
      <c r="A278" s="4" t="s">
        <v>1271</v>
      </c>
      <c r="B278" s="4" t="s">
        <v>1272</v>
      </c>
      <c r="C278" s="4" t="s">
        <v>117</v>
      </c>
      <c r="D278" s="4" t="s">
        <v>1273</v>
      </c>
      <c r="E278" s="4"/>
      <c r="F278" s="4" t="s">
        <v>1220</v>
      </c>
      <c r="G278" s="4"/>
      <c r="H278" s="4" t="s">
        <v>35</v>
      </c>
      <c r="I278" s="4"/>
      <c r="J278" s="5"/>
      <c r="K278" s="5"/>
      <c r="L278" s="4"/>
      <c r="M278" s="4" t="s">
        <v>60</v>
      </c>
      <c r="N278" s="4" t="s">
        <v>36</v>
      </c>
      <c r="O278" s="4" t="s">
        <v>53</v>
      </c>
      <c r="P278" s="4"/>
      <c r="Q278" s="4"/>
      <c r="R278" s="4" t="s">
        <v>1274</v>
      </c>
      <c r="S278" s="4"/>
      <c r="T278" s="4"/>
      <c r="U278" s="4" t="s">
        <v>56</v>
      </c>
      <c r="V278" s="6"/>
      <c r="W278" s="4" t="s">
        <v>57</v>
      </c>
    </row>
    <row r="279" customFormat="false" ht="15" hidden="false" customHeight="false" outlineLevel="0" collapsed="false">
      <c r="A279" s="4" t="s">
        <v>1275</v>
      </c>
      <c r="B279" s="4" t="s">
        <v>1276</v>
      </c>
      <c r="C279" s="4" t="s">
        <v>117</v>
      </c>
      <c r="D279" s="4" t="s">
        <v>1277</v>
      </c>
      <c r="E279" s="4"/>
      <c r="F279" s="4" t="s">
        <v>1220</v>
      </c>
      <c r="G279" s="4"/>
      <c r="H279" s="4" t="s">
        <v>35</v>
      </c>
      <c r="I279" s="4"/>
      <c r="J279" s="5"/>
      <c r="K279" s="5"/>
      <c r="L279" s="4"/>
      <c r="M279" s="4" t="s">
        <v>60</v>
      </c>
      <c r="N279" s="4" t="s">
        <v>36</v>
      </c>
      <c r="O279" s="4" t="s">
        <v>53</v>
      </c>
      <c r="P279" s="4"/>
      <c r="Q279" s="4"/>
      <c r="R279" s="4" t="s">
        <v>1278</v>
      </c>
      <c r="S279" s="4"/>
      <c r="T279" s="4"/>
      <c r="U279" s="4" t="s">
        <v>56</v>
      </c>
      <c r="V279" s="6"/>
      <c r="W279" s="4" t="s">
        <v>57</v>
      </c>
    </row>
    <row r="280" customFormat="false" ht="15" hidden="false" customHeight="false" outlineLevel="0" collapsed="false">
      <c r="A280" s="4" t="s">
        <v>1279</v>
      </c>
      <c r="B280" s="4" t="s">
        <v>1280</v>
      </c>
      <c r="C280" s="4" t="s">
        <v>117</v>
      </c>
      <c r="D280" s="4" t="s">
        <v>1281</v>
      </c>
      <c r="E280" s="4"/>
      <c r="F280" s="4" t="s">
        <v>1220</v>
      </c>
      <c r="G280" s="4"/>
      <c r="H280" s="4" t="s">
        <v>35</v>
      </c>
      <c r="I280" s="4"/>
      <c r="J280" s="5"/>
      <c r="K280" s="5"/>
      <c r="L280" s="4"/>
      <c r="M280" s="4" t="s">
        <v>60</v>
      </c>
      <c r="N280" s="4" t="s">
        <v>36</v>
      </c>
      <c r="O280" s="4" t="s">
        <v>53</v>
      </c>
      <c r="P280" s="4"/>
      <c r="Q280" s="4"/>
      <c r="R280" s="4" t="s">
        <v>1282</v>
      </c>
      <c r="S280" s="4"/>
      <c r="T280" s="4"/>
      <c r="U280" s="4" t="s">
        <v>56</v>
      </c>
      <c r="V280" s="6"/>
      <c r="W280" s="4" t="s">
        <v>57</v>
      </c>
    </row>
    <row r="281" customFormat="false" ht="15" hidden="false" customHeight="false" outlineLevel="0" collapsed="false">
      <c r="A281" s="4" t="s">
        <v>1283</v>
      </c>
      <c r="B281" s="4" t="s">
        <v>1284</v>
      </c>
      <c r="C281" s="4" t="s">
        <v>117</v>
      </c>
      <c r="D281" s="4" t="s">
        <v>1285</v>
      </c>
      <c r="E281" s="4"/>
      <c r="F281" s="4" t="s">
        <v>1286</v>
      </c>
      <c r="G281" s="4"/>
      <c r="H281" s="4" t="s">
        <v>35</v>
      </c>
      <c r="I281" s="4"/>
      <c r="J281" s="5"/>
      <c r="K281" s="5"/>
      <c r="L281" s="4"/>
      <c r="M281" s="4" t="s">
        <v>36</v>
      </c>
      <c r="N281" s="4" t="s">
        <v>36</v>
      </c>
      <c r="O281" s="4" t="s">
        <v>53</v>
      </c>
      <c r="P281" s="4"/>
      <c r="Q281" s="4"/>
      <c r="R281" s="4" t="s">
        <v>1287</v>
      </c>
      <c r="S281" s="4"/>
      <c r="T281" s="4"/>
      <c r="U281" s="4" t="s">
        <v>56</v>
      </c>
      <c r="V281" s="6"/>
      <c r="W281" s="4" t="s">
        <v>57</v>
      </c>
    </row>
    <row r="282" customFormat="false" ht="15" hidden="false" customHeight="false" outlineLevel="0" collapsed="false">
      <c r="A282" s="4" t="s">
        <v>1288</v>
      </c>
      <c r="B282" s="4" t="s">
        <v>1289</v>
      </c>
      <c r="C282" s="4" t="s">
        <v>117</v>
      </c>
      <c r="D282" s="4" t="s">
        <v>1290</v>
      </c>
      <c r="E282" s="4"/>
      <c r="F282" s="4" t="s">
        <v>1286</v>
      </c>
      <c r="G282" s="4"/>
      <c r="H282" s="4" t="s">
        <v>35</v>
      </c>
      <c r="I282" s="4"/>
      <c r="J282" s="5"/>
      <c r="K282" s="5"/>
      <c r="L282" s="4"/>
      <c r="M282" s="4" t="s">
        <v>36</v>
      </c>
      <c r="N282" s="4" t="s">
        <v>36</v>
      </c>
      <c r="O282" s="4" t="s">
        <v>53</v>
      </c>
      <c r="P282" s="4"/>
      <c r="Q282" s="4" t="s">
        <v>1291</v>
      </c>
      <c r="R282" s="4" t="s">
        <v>1292</v>
      </c>
      <c r="S282" s="4"/>
      <c r="T282" s="4"/>
      <c r="U282" s="4" t="s">
        <v>56</v>
      </c>
      <c r="V282" s="6"/>
      <c r="W282" s="4" t="s">
        <v>57</v>
      </c>
    </row>
    <row r="283" customFormat="false" ht="15" hidden="false" customHeight="false" outlineLevel="0" collapsed="false">
      <c r="A283" s="4" t="s">
        <v>1293</v>
      </c>
      <c r="B283" s="4" t="s">
        <v>1294</v>
      </c>
      <c r="C283" s="4" t="s">
        <v>117</v>
      </c>
      <c r="D283" s="4" t="s">
        <v>1295</v>
      </c>
      <c r="E283" s="4"/>
      <c r="F283" s="4" t="s">
        <v>1286</v>
      </c>
      <c r="G283" s="4"/>
      <c r="H283" s="4" t="s">
        <v>35</v>
      </c>
      <c r="I283" s="4"/>
      <c r="J283" s="5"/>
      <c r="K283" s="5"/>
      <c r="L283" s="4"/>
      <c r="M283" s="4" t="s">
        <v>36</v>
      </c>
      <c r="N283" s="4" t="s">
        <v>36</v>
      </c>
      <c r="O283" s="4" t="s">
        <v>53</v>
      </c>
      <c r="P283" s="4"/>
      <c r="Q283" s="4"/>
      <c r="R283" s="4" t="s">
        <v>1296</v>
      </c>
      <c r="S283" s="4"/>
      <c r="T283" s="4"/>
      <c r="U283" s="4" t="s">
        <v>56</v>
      </c>
      <c r="V283" s="6"/>
      <c r="W283" s="4" t="s">
        <v>57</v>
      </c>
    </row>
    <row r="284" customFormat="false" ht="15" hidden="false" customHeight="false" outlineLevel="0" collapsed="false">
      <c r="A284" s="4" t="s">
        <v>1297</v>
      </c>
      <c r="B284" s="4" t="s">
        <v>1298</v>
      </c>
      <c r="C284" s="4" t="s">
        <v>117</v>
      </c>
      <c r="D284" s="4" t="s">
        <v>1299</v>
      </c>
      <c r="E284" s="4"/>
      <c r="F284" s="4" t="s">
        <v>1286</v>
      </c>
      <c r="G284" s="4"/>
      <c r="H284" s="4" t="s">
        <v>35</v>
      </c>
      <c r="I284" s="4"/>
      <c r="J284" s="5"/>
      <c r="K284" s="5"/>
      <c r="L284" s="4"/>
      <c r="M284" s="4" t="s">
        <v>36</v>
      </c>
      <c r="N284" s="4" t="s">
        <v>36</v>
      </c>
      <c r="O284" s="4" t="s">
        <v>53</v>
      </c>
      <c r="P284" s="4"/>
      <c r="Q284" s="4"/>
      <c r="R284" s="4" t="s">
        <v>1300</v>
      </c>
      <c r="S284" s="4"/>
      <c r="T284" s="4"/>
      <c r="U284" s="4" t="s">
        <v>56</v>
      </c>
      <c r="V284" s="6"/>
      <c r="W284" s="4" t="s">
        <v>57</v>
      </c>
    </row>
    <row r="285" customFormat="false" ht="15" hidden="false" customHeight="false" outlineLevel="0" collapsed="false">
      <c r="A285" s="4" t="s">
        <v>1301</v>
      </c>
      <c r="B285" s="4" t="s">
        <v>1302</v>
      </c>
      <c r="C285" s="4" t="s">
        <v>117</v>
      </c>
      <c r="D285" s="4" t="s">
        <v>1303</v>
      </c>
      <c r="E285" s="4"/>
      <c r="F285" s="4" t="s">
        <v>1286</v>
      </c>
      <c r="G285" s="4"/>
      <c r="H285" s="4" t="s">
        <v>35</v>
      </c>
      <c r="I285" s="4"/>
      <c r="J285" s="5"/>
      <c r="K285" s="5"/>
      <c r="L285" s="4"/>
      <c r="M285" s="4" t="s">
        <v>60</v>
      </c>
      <c r="N285" s="4" t="s">
        <v>36</v>
      </c>
      <c r="O285" s="4" t="s">
        <v>53</v>
      </c>
      <c r="P285" s="4"/>
      <c r="Q285" s="4"/>
      <c r="R285" s="4" t="s">
        <v>1304</v>
      </c>
      <c r="S285" s="4"/>
      <c r="T285" s="4"/>
      <c r="U285" s="4" t="s">
        <v>56</v>
      </c>
      <c r="V285" s="6"/>
      <c r="W285" s="4" t="s">
        <v>57</v>
      </c>
    </row>
    <row r="286" customFormat="false" ht="15" hidden="false" customHeight="false" outlineLevel="0" collapsed="false">
      <c r="A286" s="4" t="s">
        <v>1305</v>
      </c>
      <c r="B286" s="4" t="s">
        <v>1306</v>
      </c>
      <c r="C286" s="4" t="s">
        <v>117</v>
      </c>
      <c r="D286" s="4" t="s">
        <v>1307</v>
      </c>
      <c r="E286" s="4"/>
      <c r="F286" s="4" t="s">
        <v>1286</v>
      </c>
      <c r="G286" s="4"/>
      <c r="H286" s="4" t="s">
        <v>35</v>
      </c>
      <c r="I286" s="4"/>
      <c r="J286" s="5"/>
      <c r="K286" s="5"/>
      <c r="L286" s="4"/>
      <c r="M286" s="4" t="s">
        <v>60</v>
      </c>
      <c r="N286" s="4" t="s">
        <v>36</v>
      </c>
      <c r="O286" s="4" t="s">
        <v>53</v>
      </c>
      <c r="P286" s="4"/>
      <c r="Q286" s="4" t="s">
        <v>1308</v>
      </c>
      <c r="R286" s="4" t="s">
        <v>1309</v>
      </c>
      <c r="S286" s="4"/>
      <c r="T286" s="4"/>
      <c r="U286" s="4" t="s">
        <v>56</v>
      </c>
      <c r="V286" s="6"/>
      <c r="W286" s="4" t="s">
        <v>57</v>
      </c>
    </row>
    <row r="287" customFormat="false" ht="15" hidden="false" customHeight="false" outlineLevel="0" collapsed="false">
      <c r="A287" s="4" t="s">
        <v>1310</v>
      </c>
      <c r="B287" s="4" t="s">
        <v>1311</v>
      </c>
      <c r="C287" s="4" t="s">
        <v>117</v>
      </c>
      <c r="D287" s="4" t="s">
        <v>1312</v>
      </c>
      <c r="E287" s="4"/>
      <c r="F287" s="4" t="s">
        <v>1286</v>
      </c>
      <c r="G287" s="4"/>
      <c r="H287" s="4" t="s">
        <v>35</v>
      </c>
      <c r="I287" s="4"/>
      <c r="J287" s="5"/>
      <c r="K287" s="5"/>
      <c r="L287" s="4"/>
      <c r="M287" s="4" t="s">
        <v>60</v>
      </c>
      <c r="N287" s="4" t="s">
        <v>36</v>
      </c>
      <c r="O287" s="4" t="s">
        <v>53</v>
      </c>
      <c r="P287" s="4"/>
      <c r="Q287" s="4"/>
      <c r="R287" s="4" t="s">
        <v>1313</v>
      </c>
      <c r="S287" s="4"/>
      <c r="T287" s="4"/>
      <c r="U287" s="4" t="s">
        <v>56</v>
      </c>
      <c r="V287" s="6"/>
      <c r="W287" s="4" t="s">
        <v>57</v>
      </c>
    </row>
    <row r="288" customFormat="false" ht="15" hidden="false" customHeight="false" outlineLevel="0" collapsed="false">
      <c r="A288" s="4" t="s">
        <v>1314</v>
      </c>
      <c r="B288" s="4" t="s">
        <v>1315</v>
      </c>
      <c r="C288" s="4" t="s">
        <v>117</v>
      </c>
      <c r="D288" s="4" t="s">
        <v>1316</v>
      </c>
      <c r="E288" s="4"/>
      <c r="F288" s="4" t="s">
        <v>1286</v>
      </c>
      <c r="G288" s="4"/>
      <c r="H288" s="4" t="s">
        <v>35</v>
      </c>
      <c r="I288" s="4"/>
      <c r="J288" s="5"/>
      <c r="K288" s="5"/>
      <c r="L288" s="4"/>
      <c r="M288" s="4" t="s">
        <v>60</v>
      </c>
      <c r="N288" s="4" t="s">
        <v>36</v>
      </c>
      <c r="O288" s="4" t="s">
        <v>53</v>
      </c>
      <c r="P288" s="4"/>
      <c r="Q288" s="4"/>
      <c r="R288" s="4" t="s">
        <v>1317</v>
      </c>
      <c r="S288" s="4"/>
      <c r="T288" s="4"/>
      <c r="U288" s="4" t="s">
        <v>56</v>
      </c>
      <c r="V288" s="6"/>
      <c r="W288" s="4" t="s">
        <v>57</v>
      </c>
    </row>
    <row r="289" customFormat="false" ht="15" hidden="false" customHeight="false" outlineLevel="0" collapsed="false">
      <c r="A289" s="4" t="s">
        <v>1318</v>
      </c>
      <c r="B289" s="4" t="s">
        <v>1319</v>
      </c>
      <c r="C289" s="4" t="s">
        <v>117</v>
      </c>
      <c r="D289" s="4" t="s">
        <v>1320</v>
      </c>
      <c r="E289" s="4"/>
      <c r="F289" s="4" t="s">
        <v>1286</v>
      </c>
      <c r="G289" s="4"/>
      <c r="H289" s="4" t="s">
        <v>35</v>
      </c>
      <c r="I289" s="4"/>
      <c r="J289" s="5"/>
      <c r="K289" s="5"/>
      <c r="L289" s="4"/>
      <c r="M289" s="4" t="s">
        <v>60</v>
      </c>
      <c r="N289" s="4" t="s">
        <v>36</v>
      </c>
      <c r="O289" s="4" t="s">
        <v>53</v>
      </c>
      <c r="P289" s="4"/>
      <c r="Q289" s="4"/>
      <c r="R289" s="4" t="s">
        <v>1321</v>
      </c>
      <c r="S289" s="4"/>
      <c r="T289" s="4"/>
      <c r="U289" s="4" t="s">
        <v>56</v>
      </c>
      <c r="V289" s="6"/>
      <c r="W289" s="4" t="s">
        <v>57</v>
      </c>
    </row>
    <row r="290" customFormat="false" ht="15" hidden="false" customHeight="false" outlineLevel="0" collapsed="false">
      <c r="A290" s="4" t="s">
        <v>1322</v>
      </c>
      <c r="B290" s="4" t="s">
        <v>1323</v>
      </c>
      <c r="C290" s="4" t="s">
        <v>117</v>
      </c>
      <c r="D290" s="4" t="s">
        <v>1324</v>
      </c>
      <c r="E290" s="4"/>
      <c r="F290" s="4" t="s">
        <v>1286</v>
      </c>
      <c r="G290" s="4"/>
      <c r="H290" s="4" t="s">
        <v>35</v>
      </c>
      <c r="I290" s="4"/>
      <c r="J290" s="5"/>
      <c r="K290" s="5"/>
      <c r="L290" s="4"/>
      <c r="M290" s="4" t="s">
        <v>60</v>
      </c>
      <c r="N290" s="4" t="s">
        <v>36</v>
      </c>
      <c r="O290" s="4" t="s">
        <v>53</v>
      </c>
      <c r="P290" s="4"/>
      <c r="Q290" s="4"/>
      <c r="R290" s="4" t="s">
        <v>1325</v>
      </c>
      <c r="S290" s="4"/>
      <c r="T290" s="4"/>
      <c r="U290" s="4" t="s">
        <v>56</v>
      </c>
      <c r="V290" s="6"/>
      <c r="W290" s="4" t="s">
        <v>57</v>
      </c>
    </row>
    <row r="291" customFormat="false" ht="15" hidden="false" customHeight="false" outlineLevel="0" collapsed="false">
      <c r="A291" s="4" t="s">
        <v>1326</v>
      </c>
      <c r="B291" s="4" t="s">
        <v>1327</v>
      </c>
      <c r="C291" s="4" t="s">
        <v>117</v>
      </c>
      <c r="D291" s="4" t="s">
        <v>1328</v>
      </c>
      <c r="E291" s="4"/>
      <c r="F291" s="4" t="s">
        <v>1286</v>
      </c>
      <c r="G291" s="4"/>
      <c r="H291" s="4" t="s">
        <v>35</v>
      </c>
      <c r="I291" s="4"/>
      <c r="J291" s="5"/>
      <c r="K291" s="5"/>
      <c r="L291" s="4"/>
      <c r="M291" s="4" t="s">
        <v>60</v>
      </c>
      <c r="N291" s="4" t="s">
        <v>36</v>
      </c>
      <c r="O291" s="4" t="s">
        <v>53</v>
      </c>
      <c r="P291" s="4"/>
      <c r="Q291" s="4"/>
      <c r="R291" s="4" t="s">
        <v>1329</v>
      </c>
      <c r="S291" s="4"/>
      <c r="T291" s="4"/>
      <c r="U291" s="4" t="s">
        <v>56</v>
      </c>
      <c r="V291" s="6"/>
      <c r="W291" s="4" t="s">
        <v>57</v>
      </c>
    </row>
    <row r="292" customFormat="false" ht="15" hidden="false" customHeight="false" outlineLevel="0" collapsed="false">
      <c r="A292" s="4" t="s">
        <v>1330</v>
      </c>
      <c r="B292" s="4" t="s">
        <v>1331</v>
      </c>
      <c r="C292" s="4" t="s">
        <v>117</v>
      </c>
      <c r="D292" s="4" t="s">
        <v>1332</v>
      </c>
      <c r="E292" s="4"/>
      <c r="F292" s="4" t="s">
        <v>1286</v>
      </c>
      <c r="G292" s="4"/>
      <c r="H292" s="4" t="s">
        <v>35</v>
      </c>
      <c r="I292" s="4"/>
      <c r="J292" s="5"/>
      <c r="K292" s="5"/>
      <c r="L292" s="4"/>
      <c r="M292" s="4" t="s">
        <v>60</v>
      </c>
      <c r="N292" s="4" t="s">
        <v>36</v>
      </c>
      <c r="O292" s="4" t="s">
        <v>53</v>
      </c>
      <c r="P292" s="4"/>
      <c r="Q292" s="4" t="s">
        <v>1333</v>
      </c>
      <c r="R292" s="4" t="s">
        <v>1334</v>
      </c>
      <c r="S292" s="4"/>
      <c r="T292" s="4"/>
      <c r="U292" s="4" t="s">
        <v>56</v>
      </c>
      <c r="V292" s="6"/>
      <c r="W292" s="4" t="s">
        <v>57</v>
      </c>
    </row>
    <row r="293" customFormat="false" ht="15" hidden="false" customHeight="false" outlineLevel="0" collapsed="false">
      <c r="A293" s="4" t="s">
        <v>1335</v>
      </c>
      <c r="B293" s="4" t="s">
        <v>1336</v>
      </c>
      <c r="C293" s="4" t="s">
        <v>117</v>
      </c>
      <c r="D293" s="4" t="s">
        <v>1337</v>
      </c>
      <c r="E293" s="4"/>
      <c r="F293" s="4" t="s">
        <v>1286</v>
      </c>
      <c r="G293" s="4"/>
      <c r="H293" s="4" t="s">
        <v>35</v>
      </c>
      <c r="I293" s="4"/>
      <c r="J293" s="5"/>
      <c r="K293" s="5"/>
      <c r="L293" s="4"/>
      <c r="M293" s="4" t="s">
        <v>60</v>
      </c>
      <c r="N293" s="4" t="s">
        <v>36</v>
      </c>
      <c r="O293" s="4" t="s">
        <v>53</v>
      </c>
      <c r="P293" s="4"/>
      <c r="Q293" s="4"/>
      <c r="R293" s="4" t="s">
        <v>1338</v>
      </c>
      <c r="S293" s="4"/>
      <c r="T293" s="4"/>
      <c r="U293" s="4" t="s">
        <v>56</v>
      </c>
      <c r="V293" s="6"/>
      <c r="W293" s="4" t="s">
        <v>57</v>
      </c>
    </row>
    <row r="294" customFormat="false" ht="15" hidden="false" customHeight="false" outlineLevel="0" collapsed="false">
      <c r="A294" s="4" t="s">
        <v>1339</v>
      </c>
      <c r="B294" s="4" t="s">
        <v>1340</v>
      </c>
      <c r="C294" s="4" t="s">
        <v>117</v>
      </c>
      <c r="D294" s="4" t="s">
        <v>1341</v>
      </c>
      <c r="E294" s="4"/>
      <c r="F294" s="4" t="s">
        <v>1286</v>
      </c>
      <c r="G294" s="4"/>
      <c r="H294" s="4" t="s">
        <v>35</v>
      </c>
      <c r="I294" s="4"/>
      <c r="J294" s="5"/>
      <c r="K294" s="5"/>
      <c r="L294" s="4"/>
      <c r="M294" s="4" t="s">
        <v>60</v>
      </c>
      <c r="N294" s="4" t="s">
        <v>36</v>
      </c>
      <c r="O294" s="4" t="s">
        <v>53</v>
      </c>
      <c r="P294" s="4"/>
      <c r="Q294" s="4"/>
      <c r="R294" s="4" t="s">
        <v>1342</v>
      </c>
      <c r="S294" s="4"/>
      <c r="T294" s="4"/>
      <c r="U294" s="4" t="s">
        <v>56</v>
      </c>
      <c r="V294" s="6"/>
      <c r="W294" s="4" t="s">
        <v>57</v>
      </c>
    </row>
    <row r="295" customFormat="false" ht="15" hidden="false" customHeight="false" outlineLevel="0" collapsed="false">
      <c r="A295" s="4" t="s">
        <v>1343</v>
      </c>
      <c r="B295" s="4" t="s">
        <v>1344</v>
      </c>
      <c r="C295" s="4" t="s">
        <v>117</v>
      </c>
      <c r="D295" s="4" t="s">
        <v>1345</v>
      </c>
      <c r="E295" s="4"/>
      <c r="F295" s="4" t="s">
        <v>1286</v>
      </c>
      <c r="G295" s="4"/>
      <c r="H295" s="4" t="s">
        <v>35</v>
      </c>
      <c r="I295" s="4"/>
      <c r="J295" s="5"/>
      <c r="K295" s="5"/>
      <c r="L295" s="4"/>
      <c r="M295" s="4" t="s">
        <v>60</v>
      </c>
      <c r="N295" s="4" t="s">
        <v>36</v>
      </c>
      <c r="O295" s="4" t="s">
        <v>53</v>
      </c>
      <c r="P295" s="4"/>
      <c r="Q295" s="4"/>
      <c r="R295" s="4" t="s">
        <v>1346</v>
      </c>
      <c r="S295" s="4"/>
      <c r="T295" s="4"/>
      <c r="U295" s="4" t="s">
        <v>56</v>
      </c>
      <c r="V295" s="6"/>
      <c r="W295" s="4" t="s">
        <v>57</v>
      </c>
    </row>
    <row r="296" customFormat="false" ht="15" hidden="false" customHeight="false" outlineLevel="0" collapsed="false">
      <c r="A296" s="4" t="s">
        <v>1347</v>
      </c>
      <c r="B296" s="4" t="s">
        <v>1348</v>
      </c>
      <c r="C296" s="4" t="s">
        <v>117</v>
      </c>
      <c r="D296" s="4" t="s">
        <v>1349</v>
      </c>
      <c r="E296" s="4"/>
      <c r="F296" s="4" t="s">
        <v>1286</v>
      </c>
      <c r="G296" s="4"/>
      <c r="H296" s="4" t="s">
        <v>35</v>
      </c>
      <c r="I296" s="4"/>
      <c r="J296" s="5"/>
      <c r="K296" s="5"/>
      <c r="L296" s="4"/>
      <c r="M296" s="4" t="s">
        <v>60</v>
      </c>
      <c r="N296" s="4" t="s">
        <v>36</v>
      </c>
      <c r="O296" s="4" t="s">
        <v>53</v>
      </c>
      <c r="P296" s="4"/>
      <c r="Q296" s="4"/>
      <c r="R296" s="4" t="s">
        <v>1350</v>
      </c>
      <c r="S296" s="4"/>
      <c r="T296" s="4"/>
      <c r="U296" s="4" t="s">
        <v>56</v>
      </c>
      <c r="V296" s="6"/>
      <c r="W296" s="4" t="s">
        <v>57</v>
      </c>
    </row>
    <row r="297" customFormat="false" ht="15" hidden="false" customHeight="false" outlineLevel="0" collapsed="false">
      <c r="A297" s="4" t="s">
        <v>1351</v>
      </c>
      <c r="B297" s="4" t="s">
        <v>1352</v>
      </c>
      <c r="C297" s="4" t="s">
        <v>32</v>
      </c>
      <c r="D297" s="4" t="s">
        <v>1353</v>
      </c>
      <c r="E297" s="4"/>
      <c r="F297" s="4" t="s">
        <v>1354</v>
      </c>
      <c r="G297" s="4"/>
      <c r="H297" s="4" t="s">
        <v>35</v>
      </c>
      <c r="I297" s="4"/>
      <c r="J297" s="5"/>
      <c r="K297" s="5"/>
      <c r="L297" s="4"/>
      <c r="M297" s="4" t="s">
        <v>36</v>
      </c>
      <c r="N297" s="4" t="s">
        <v>36</v>
      </c>
      <c r="O297" s="4" t="s">
        <v>53</v>
      </c>
      <c r="P297" s="4"/>
      <c r="Q297" s="4" t="s">
        <v>1355</v>
      </c>
      <c r="R297" s="4" t="s">
        <v>1356</v>
      </c>
      <c r="S297" s="4"/>
      <c r="T297" s="4"/>
      <c r="U297" s="4" t="s">
        <v>56</v>
      </c>
      <c r="V297" s="6"/>
      <c r="W297" s="4" t="s">
        <v>57</v>
      </c>
    </row>
    <row r="298" customFormat="false" ht="15" hidden="false" customHeight="false" outlineLevel="0" collapsed="false">
      <c r="A298" s="4" t="s">
        <v>1357</v>
      </c>
      <c r="B298" s="4" t="s">
        <v>1358</v>
      </c>
      <c r="C298" s="4" t="s">
        <v>117</v>
      </c>
      <c r="D298" s="4" t="s">
        <v>1353</v>
      </c>
      <c r="E298" s="4"/>
      <c r="F298" s="4" t="s">
        <v>1354</v>
      </c>
      <c r="G298" s="4"/>
      <c r="H298" s="4" t="s">
        <v>35</v>
      </c>
      <c r="I298" s="4"/>
      <c r="J298" s="5"/>
      <c r="K298" s="5"/>
      <c r="L298" s="4"/>
      <c r="M298" s="4" t="s">
        <v>60</v>
      </c>
      <c r="N298" s="4" t="s">
        <v>36</v>
      </c>
      <c r="O298" s="4" t="s">
        <v>53</v>
      </c>
      <c r="P298" s="4"/>
      <c r="Q298" s="4" t="s">
        <v>1359</v>
      </c>
      <c r="R298" s="4" t="s">
        <v>1360</v>
      </c>
      <c r="S298" s="4"/>
      <c r="T298" s="4"/>
      <c r="U298" s="4" t="s">
        <v>56</v>
      </c>
      <c r="V298" s="6"/>
      <c r="W298" s="4" t="s">
        <v>57</v>
      </c>
    </row>
    <row r="299" customFormat="false" ht="15" hidden="false" customHeight="false" outlineLevel="0" collapsed="false">
      <c r="A299" s="4" t="s">
        <v>1361</v>
      </c>
      <c r="B299" s="4" t="s">
        <v>1362</v>
      </c>
      <c r="C299" s="4" t="s">
        <v>32</v>
      </c>
      <c r="D299" s="4" t="s">
        <v>1363</v>
      </c>
      <c r="E299" s="4"/>
      <c r="F299" s="4" t="s">
        <v>1354</v>
      </c>
      <c r="G299" s="4"/>
      <c r="H299" s="4" t="s">
        <v>35</v>
      </c>
      <c r="I299" s="4"/>
      <c r="J299" s="5"/>
      <c r="K299" s="5"/>
      <c r="L299" s="4"/>
      <c r="M299" s="4" t="s">
        <v>36</v>
      </c>
      <c r="N299" s="4" t="s">
        <v>36</v>
      </c>
      <c r="O299" s="4" t="s">
        <v>53</v>
      </c>
      <c r="P299" s="4"/>
      <c r="Q299" s="4" t="s">
        <v>1364</v>
      </c>
      <c r="R299" s="4" t="s">
        <v>1365</v>
      </c>
      <c r="S299" s="4"/>
      <c r="T299" s="4"/>
      <c r="U299" s="4" t="s">
        <v>56</v>
      </c>
      <c r="V299" s="6"/>
      <c r="W299" s="4" t="s">
        <v>57</v>
      </c>
    </row>
    <row r="300" customFormat="false" ht="15" hidden="false" customHeight="false" outlineLevel="0" collapsed="false">
      <c r="A300" s="4" t="s">
        <v>1366</v>
      </c>
      <c r="B300" s="4" t="s">
        <v>1367</v>
      </c>
      <c r="C300" s="4" t="s">
        <v>117</v>
      </c>
      <c r="D300" s="4" t="s">
        <v>1368</v>
      </c>
      <c r="E300" s="4"/>
      <c r="F300" s="4" t="s">
        <v>1354</v>
      </c>
      <c r="G300" s="4"/>
      <c r="H300" s="4" t="s">
        <v>35</v>
      </c>
      <c r="I300" s="4"/>
      <c r="J300" s="5"/>
      <c r="K300" s="5"/>
      <c r="L300" s="4"/>
      <c r="M300" s="4" t="s">
        <v>36</v>
      </c>
      <c r="N300" s="4" t="s">
        <v>36</v>
      </c>
      <c r="O300" s="4" t="s">
        <v>53</v>
      </c>
      <c r="P300" s="4"/>
      <c r="Q300" s="4" t="s">
        <v>1369</v>
      </c>
      <c r="R300" s="4" t="s">
        <v>1370</v>
      </c>
      <c r="S300" s="4"/>
      <c r="T300" s="4"/>
      <c r="U300" s="4" t="s">
        <v>56</v>
      </c>
      <c r="V300" s="6"/>
      <c r="W300" s="4" t="s">
        <v>57</v>
      </c>
    </row>
    <row r="301" customFormat="false" ht="15" hidden="false" customHeight="false" outlineLevel="0" collapsed="false">
      <c r="A301" s="4" t="s">
        <v>1371</v>
      </c>
      <c r="B301" s="4" t="s">
        <v>1372</v>
      </c>
      <c r="C301" s="4" t="s">
        <v>117</v>
      </c>
      <c r="D301" s="4" t="s">
        <v>1373</v>
      </c>
      <c r="E301" s="4"/>
      <c r="F301" s="4" t="s">
        <v>1354</v>
      </c>
      <c r="G301" s="4"/>
      <c r="H301" s="4" t="s">
        <v>35</v>
      </c>
      <c r="I301" s="4"/>
      <c r="J301" s="5"/>
      <c r="K301" s="5"/>
      <c r="L301" s="4"/>
      <c r="M301" s="4" t="s">
        <v>36</v>
      </c>
      <c r="N301" s="4" t="s">
        <v>36</v>
      </c>
      <c r="O301" s="4" t="s">
        <v>53</v>
      </c>
      <c r="P301" s="4"/>
      <c r="Q301" s="4" t="s">
        <v>1374</v>
      </c>
      <c r="R301" s="4" t="s">
        <v>1375</v>
      </c>
      <c r="S301" s="4"/>
      <c r="T301" s="4"/>
      <c r="U301" s="4" t="s">
        <v>56</v>
      </c>
      <c r="V301" s="6"/>
      <c r="W301" s="4" t="s">
        <v>57</v>
      </c>
    </row>
    <row r="302" customFormat="false" ht="15" hidden="false" customHeight="false" outlineLevel="0" collapsed="false">
      <c r="A302" s="4" t="s">
        <v>1376</v>
      </c>
      <c r="B302" s="4" t="s">
        <v>1377</v>
      </c>
      <c r="C302" s="4" t="s">
        <v>117</v>
      </c>
      <c r="D302" s="4" t="s">
        <v>1378</v>
      </c>
      <c r="E302" s="4"/>
      <c r="F302" s="4" t="s">
        <v>1354</v>
      </c>
      <c r="G302" s="4"/>
      <c r="H302" s="4" t="s">
        <v>35</v>
      </c>
      <c r="I302" s="4"/>
      <c r="J302" s="5"/>
      <c r="K302" s="5"/>
      <c r="L302" s="4"/>
      <c r="M302" s="4" t="s">
        <v>36</v>
      </c>
      <c r="N302" s="4" t="s">
        <v>36</v>
      </c>
      <c r="O302" s="4" t="s">
        <v>53</v>
      </c>
      <c r="P302" s="4"/>
      <c r="Q302" s="4" t="s">
        <v>1379</v>
      </c>
      <c r="R302" s="4" t="s">
        <v>1380</v>
      </c>
      <c r="S302" s="4"/>
      <c r="T302" s="4"/>
      <c r="U302" s="4" t="s">
        <v>56</v>
      </c>
      <c r="V302" s="6"/>
      <c r="W302" s="4" t="s">
        <v>57</v>
      </c>
    </row>
    <row r="303" customFormat="false" ht="15" hidden="false" customHeight="false" outlineLevel="0" collapsed="false">
      <c r="A303" s="4" t="s">
        <v>1381</v>
      </c>
      <c r="B303" s="4" t="s">
        <v>1382</v>
      </c>
      <c r="C303" s="4" t="s">
        <v>117</v>
      </c>
      <c r="D303" s="4" t="s">
        <v>1383</v>
      </c>
      <c r="E303" s="4"/>
      <c r="F303" s="4" t="s">
        <v>1354</v>
      </c>
      <c r="G303" s="4"/>
      <c r="H303" s="4" t="s">
        <v>35</v>
      </c>
      <c r="I303" s="4"/>
      <c r="J303" s="5"/>
      <c r="K303" s="5"/>
      <c r="L303" s="4"/>
      <c r="M303" s="4" t="s">
        <v>36</v>
      </c>
      <c r="N303" s="4" t="s">
        <v>36</v>
      </c>
      <c r="O303" s="4" t="s">
        <v>53</v>
      </c>
      <c r="P303" s="4"/>
      <c r="Q303" s="4"/>
      <c r="R303" s="4" t="s">
        <v>1384</v>
      </c>
      <c r="S303" s="4"/>
      <c r="T303" s="4"/>
      <c r="U303" s="4" t="s">
        <v>56</v>
      </c>
      <c r="V303" s="6"/>
      <c r="W303" s="4" t="s">
        <v>57</v>
      </c>
    </row>
    <row r="304" customFormat="false" ht="15" hidden="false" customHeight="false" outlineLevel="0" collapsed="false">
      <c r="A304" s="4" t="s">
        <v>1385</v>
      </c>
      <c r="B304" s="4" t="s">
        <v>1386</v>
      </c>
      <c r="C304" s="4" t="s">
        <v>117</v>
      </c>
      <c r="D304" s="4" t="s">
        <v>1387</v>
      </c>
      <c r="E304" s="4"/>
      <c r="F304" s="4" t="s">
        <v>1354</v>
      </c>
      <c r="G304" s="4"/>
      <c r="H304" s="4" t="s">
        <v>35</v>
      </c>
      <c r="I304" s="4"/>
      <c r="J304" s="5"/>
      <c r="K304" s="5"/>
      <c r="L304" s="4"/>
      <c r="M304" s="4" t="s">
        <v>60</v>
      </c>
      <c r="N304" s="4" t="s">
        <v>36</v>
      </c>
      <c r="O304" s="4" t="s">
        <v>53</v>
      </c>
      <c r="P304" s="4"/>
      <c r="Q304" s="4"/>
      <c r="R304" s="4" t="s">
        <v>1388</v>
      </c>
      <c r="S304" s="4"/>
      <c r="T304" s="4"/>
      <c r="U304" s="4" t="s">
        <v>56</v>
      </c>
      <c r="V304" s="6"/>
      <c r="W304" s="4" t="s">
        <v>57</v>
      </c>
    </row>
    <row r="305" customFormat="false" ht="15" hidden="false" customHeight="false" outlineLevel="0" collapsed="false">
      <c r="A305" s="4" t="s">
        <v>1389</v>
      </c>
      <c r="B305" s="4" t="s">
        <v>1390</v>
      </c>
      <c r="C305" s="4" t="s">
        <v>117</v>
      </c>
      <c r="D305" s="4" t="s">
        <v>1391</v>
      </c>
      <c r="E305" s="4"/>
      <c r="F305" s="4" t="s">
        <v>1354</v>
      </c>
      <c r="G305" s="4"/>
      <c r="H305" s="4" t="s">
        <v>35</v>
      </c>
      <c r="I305" s="4"/>
      <c r="J305" s="5"/>
      <c r="K305" s="5"/>
      <c r="L305" s="4"/>
      <c r="M305" s="4" t="s">
        <v>60</v>
      </c>
      <c r="N305" s="4" t="s">
        <v>36</v>
      </c>
      <c r="O305" s="4" t="s">
        <v>53</v>
      </c>
      <c r="P305" s="4"/>
      <c r="Q305" s="4"/>
      <c r="R305" s="4" t="s">
        <v>1392</v>
      </c>
      <c r="S305" s="4"/>
      <c r="T305" s="4"/>
      <c r="U305" s="4" t="s">
        <v>56</v>
      </c>
      <c r="V305" s="6"/>
      <c r="W305" s="4" t="s">
        <v>57</v>
      </c>
    </row>
    <row r="306" customFormat="false" ht="15" hidden="false" customHeight="false" outlineLevel="0" collapsed="false">
      <c r="A306" s="4" t="s">
        <v>1393</v>
      </c>
      <c r="B306" s="4" t="s">
        <v>1394</v>
      </c>
      <c r="C306" s="4" t="s">
        <v>117</v>
      </c>
      <c r="D306" s="4" t="s">
        <v>1395</v>
      </c>
      <c r="E306" s="4"/>
      <c r="F306" s="4" t="s">
        <v>1354</v>
      </c>
      <c r="G306" s="4"/>
      <c r="H306" s="4" t="s">
        <v>35</v>
      </c>
      <c r="I306" s="4"/>
      <c r="J306" s="5"/>
      <c r="K306" s="5"/>
      <c r="L306" s="4"/>
      <c r="M306" s="4" t="s">
        <v>60</v>
      </c>
      <c r="N306" s="4" t="s">
        <v>36</v>
      </c>
      <c r="O306" s="4" t="s">
        <v>53</v>
      </c>
      <c r="P306" s="4"/>
      <c r="Q306" s="4"/>
      <c r="R306" s="4" t="s">
        <v>1396</v>
      </c>
      <c r="S306" s="4"/>
      <c r="T306" s="4"/>
      <c r="U306" s="4" t="s">
        <v>56</v>
      </c>
      <c r="V306" s="6"/>
      <c r="W306" s="4" t="s">
        <v>57</v>
      </c>
    </row>
    <row r="307" customFormat="false" ht="15" hidden="false" customHeight="false" outlineLevel="0" collapsed="false">
      <c r="A307" s="4" t="s">
        <v>1397</v>
      </c>
      <c r="B307" s="4" t="s">
        <v>1398</v>
      </c>
      <c r="C307" s="4" t="s">
        <v>117</v>
      </c>
      <c r="D307" s="4" t="s">
        <v>1399</v>
      </c>
      <c r="E307" s="4"/>
      <c r="F307" s="4" t="s">
        <v>1354</v>
      </c>
      <c r="G307" s="4"/>
      <c r="H307" s="4" t="s">
        <v>35</v>
      </c>
      <c r="I307" s="4"/>
      <c r="J307" s="5"/>
      <c r="K307" s="5"/>
      <c r="L307" s="4"/>
      <c r="M307" s="4" t="s">
        <v>60</v>
      </c>
      <c r="N307" s="4" t="s">
        <v>36</v>
      </c>
      <c r="O307" s="4" t="s">
        <v>53</v>
      </c>
      <c r="P307" s="4"/>
      <c r="Q307" s="4"/>
      <c r="R307" s="4" t="s">
        <v>1400</v>
      </c>
      <c r="S307" s="4"/>
      <c r="T307" s="4"/>
      <c r="U307" s="4" t="s">
        <v>56</v>
      </c>
      <c r="V307" s="6"/>
      <c r="W307" s="4" t="s">
        <v>57</v>
      </c>
    </row>
    <row r="308" customFormat="false" ht="15" hidden="false" customHeight="false" outlineLevel="0" collapsed="false">
      <c r="A308" s="4" t="s">
        <v>1401</v>
      </c>
      <c r="B308" s="4" t="s">
        <v>1402</v>
      </c>
      <c r="C308" s="4" t="s">
        <v>117</v>
      </c>
      <c r="D308" s="4" t="s">
        <v>1403</v>
      </c>
      <c r="E308" s="4"/>
      <c r="F308" s="4" t="s">
        <v>1354</v>
      </c>
      <c r="G308" s="4"/>
      <c r="H308" s="4" t="s">
        <v>35</v>
      </c>
      <c r="I308" s="4"/>
      <c r="J308" s="5"/>
      <c r="K308" s="5"/>
      <c r="L308" s="4"/>
      <c r="M308" s="4" t="s">
        <v>60</v>
      </c>
      <c r="N308" s="4" t="s">
        <v>36</v>
      </c>
      <c r="O308" s="4" t="s">
        <v>53</v>
      </c>
      <c r="P308" s="4"/>
      <c r="Q308" s="4"/>
      <c r="R308" s="4" t="s">
        <v>1404</v>
      </c>
      <c r="S308" s="4"/>
      <c r="T308" s="4"/>
      <c r="U308" s="4" t="s">
        <v>56</v>
      </c>
      <c r="V308" s="6"/>
      <c r="W308" s="4" t="s">
        <v>57</v>
      </c>
    </row>
    <row r="309" customFormat="false" ht="15" hidden="false" customHeight="false" outlineLevel="0" collapsed="false">
      <c r="A309" s="4" t="s">
        <v>1405</v>
      </c>
      <c r="B309" s="4" t="s">
        <v>1406</v>
      </c>
      <c r="C309" s="4" t="s">
        <v>117</v>
      </c>
      <c r="D309" s="4" t="s">
        <v>1407</v>
      </c>
      <c r="E309" s="4"/>
      <c r="F309" s="4" t="s">
        <v>1354</v>
      </c>
      <c r="G309" s="4"/>
      <c r="H309" s="4" t="s">
        <v>35</v>
      </c>
      <c r="I309" s="4"/>
      <c r="J309" s="5"/>
      <c r="K309" s="5"/>
      <c r="L309" s="4"/>
      <c r="M309" s="4" t="s">
        <v>60</v>
      </c>
      <c r="N309" s="4" t="s">
        <v>36</v>
      </c>
      <c r="O309" s="4" t="s">
        <v>53</v>
      </c>
      <c r="P309" s="4"/>
      <c r="Q309" s="4"/>
      <c r="R309" s="4" t="s">
        <v>1408</v>
      </c>
      <c r="S309" s="4"/>
      <c r="T309" s="4"/>
      <c r="U309" s="4" t="s">
        <v>56</v>
      </c>
      <c r="V309" s="6"/>
      <c r="W309" s="4" t="s">
        <v>57</v>
      </c>
    </row>
    <row r="310" customFormat="false" ht="15" hidden="false" customHeight="false" outlineLevel="0" collapsed="false">
      <c r="A310" s="4" t="s">
        <v>1409</v>
      </c>
      <c r="B310" s="4" t="s">
        <v>1410</v>
      </c>
      <c r="C310" s="4" t="s">
        <v>117</v>
      </c>
      <c r="D310" s="4" t="s">
        <v>1411</v>
      </c>
      <c r="E310" s="4"/>
      <c r="F310" s="4" t="s">
        <v>1354</v>
      </c>
      <c r="G310" s="4"/>
      <c r="H310" s="4" t="s">
        <v>35</v>
      </c>
      <c r="I310" s="4"/>
      <c r="J310" s="5"/>
      <c r="K310" s="5"/>
      <c r="L310" s="4"/>
      <c r="M310" s="4" t="s">
        <v>60</v>
      </c>
      <c r="N310" s="4" t="s">
        <v>36</v>
      </c>
      <c r="O310" s="4" t="s">
        <v>53</v>
      </c>
      <c r="P310" s="4"/>
      <c r="Q310" s="4"/>
      <c r="R310" s="4" t="s">
        <v>1412</v>
      </c>
      <c r="S310" s="4"/>
      <c r="T310" s="4"/>
      <c r="U310" s="4" t="s">
        <v>56</v>
      </c>
      <c r="V310" s="6"/>
      <c r="W310" s="4" t="s">
        <v>57</v>
      </c>
    </row>
    <row r="311" customFormat="false" ht="15" hidden="false" customHeight="false" outlineLevel="0" collapsed="false">
      <c r="A311" s="4" t="s">
        <v>1413</v>
      </c>
      <c r="B311" s="4" t="s">
        <v>1414</v>
      </c>
      <c r="C311" s="4" t="s">
        <v>117</v>
      </c>
      <c r="D311" s="4" t="s">
        <v>1415</v>
      </c>
      <c r="E311" s="4"/>
      <c r="F311" s="4" t="s">
        <v>1354</v>
      </c>
      <c r="G311" s="4"/>
      <c r="H311" s="4" t="s">
        <v>35</v>
      </c>
      <c r="I311" s="4"/>
      <c r="J311" s="5"/>
      <c r="K311" s="5"/>
      <c r="L311" s="4"/>
      <c r="M311" s="4" t="s">
        <v>60</v>
      </c>
      <c r="N311" s="4" t="s">
        <v>36</v>
      </c>
      <c r="O311" s="4" t="s">
        <v>53</v>
      </c>
      <c r="P311" s="4"/>
      <c r="Q311" s="4"/>
      <c r="R311" s="4" t="s">
        <v>1416</v>
      </c>
      <c r="S311" s="4"/>
      <c r="T311" s="4"/>
      <c r="U311" s="4" t="s">
        <v>56</v>
      </c>
      <c r="V311" s="6"/>
      <c r="W311" s="4" t="s">
        <v>57</v>
      </c>
    </row>
    <row r="312" customFormat="false" ht="15" hidden="false" customHeight="false" outlineLevel="0" collapsed="false">
      <c r="A312" s="4" t="s">
        <v>1417</v>
      </c>
      <c r="B312" s="4" t="s">
        <v>1418</v>
      </c>
      <c r="C312" s="4" t="s">
        <v>117</v>
      </c>
      <c r="D312" s="4" t="s">
        <v>1419</v>
      </c>
      <c r="E312" s="4"/>
      <c r="F312" s="4" t="s">
        <v>1354</v>
      </c>
      <c r="G312" s="4"/>
      <c r="H312" s="4" t="s">
        <v>35</v>
      </c>
      <c r="I312" s="4"/>
      <c r="J312" s="5"/>
      <c r="K312" s="5"/>
      <c r="L312" s="4"/>
      <c r="M312" s="4" t="s">
        <v>60</v>
      </c>
      <c r="N312" s="4" t="s">
        <v>36</v>
      </c>
      <c r="O312" s="4" t="s">
        <v>53</v>
      </c>
      <c r="P312" s="4"/>
      <c r="Q312" s="4"/>
      <c r="R312" s="4" t="s">
        <v>1420</v>
      </c>
      <c r="S312" s="4"/>
      <c r="T312" s="4"/>
      <c r="U312" s="4" t="s">
        <v>56</v>
      </c>
      <c r="V312" s="6"/>
      <c r="W312" s="4" t="s">
        <v>57</v>
      </c>
    </row>
    <row r="313" customFormat="false" ht="15" hidden="false" customHeight="false" outlineLevel="0" collapsed="false">
      <c r="A313" s="4" t="s">
        <v>1421</v>
      </c>
      <c r="B313" s="4" t="s">
        <v>1422</v>
      </c>
      <c r="C313" s="4" t="s">
        <v>117</v>
      </c>
      <c r="D313" s="4" t="s">
        <v>1423</v>
      </c>
      <c r="E313" s="4"/>
      <c r="F313" s="4" t="s">
        <v>1354</v>
      </c>
      <c r="G313" s="4"/>
      <c r="H313" s="4" t="s">
        <v>35</v>
      </c>
      <c r="I313" s="4"/>
      <c r="J313" s="5"/>
      <c r="K313" s="5"/>
      <c r="L313" s="4"/>
      <c r="M313" s="4" t="s">
        <v>60</v>
      </c>
      <c r="N313" s="4" t="s">
        <v>36</v>
      </c>
      <c r="O313" s="4" t="s">
        <v>53</v>
      </c>
      <c r="P313" s="4"/>
      <c r="Q313" s="4"/>
      <c r="R313" s="4" t="s">
        <v>1424</v>
      </c>
      <c r="S313" s="4"/>
      <c r="T313" s="4"/>
      <c r="U313" s="4" t="s">
        <v>56</v>
      </c>
      <c r="V313" s="6"/>
      <c r="W313" s="4" t="s">
        <v>57</v>
      </c>
    </row>
    <row r="314" customFormat="false" ht="15" hidden="false" customHeight="false" outlineLevel="0" collapsed="false">
      <c r="A314" s="4" t="s">
        <v>1425</v>
      </c>
      <c r="B314" s="4" t="s">
        <v>1426</v>
      </c>
      <c r="C314" s="4" t="s">
        <v>32</v>
      </c>
      <c r="D314" s="4" t="s">
        <v>1427</v>
      </c>
      <c r="E314" s="4"/>
      <c r="F314" s="4" t="s">
        <v>1428</v>
      </c>
      <c r="G314" s="4"/>
      <c r="H314" s="4" t="s">
        <v>35</v>
      </c>
      <c r="I314" s="4"/>
      <c r="J314" s="5"/>
      <c r="K314" s="5"/>
      <c r="L314" s="4"/>
      <c r="M314" s="4" t="s">
        <v>36</v>
      </c>
      <c r="N314" s="4" t="s">
        <v>36</v>
      </c>
      <c r="O314" s="4" t="s">
        <v>53</v>
      </c>
      <c r="P314" s="4"/>
      <c r="Q314" s="4" t="s">
        <v>1429</v>
      </c>
      <c r="R314" s="4" t="s">
        <v>1430</v>
      </c>
      <c r="S314" s="4"/>
      <c r="T314" s="4"/>
      <c r="U314" s="4" t="s">
        <v>56</v>
      </c>
      <c r="V314" s="6"/>
      <c r="W314" s="4" t="s">
        <v>57</v>
      </c>
    </row>
    <row r="315" customFormat="false" ht="15" hidden="false" customHeight="false" outlineLevel="0" collapsed="false">
      <c r="A315" s="4" t="s">
        <v>1431</v>
      </c>
      <c r="B315" s="4" t="s">
        <v>1432</v>
      </c>
      <c r="C315" s="4" t="s">
        <v>117</v>
      </c>
      <c r="D315" s="4" t="s">
        <v>1433</v>
      </c>
      <c r="E315" s="4"/>
      <c r="F315" s="4" t="s">
        <v>1428</v>
      </c>
      <c r="G315" s="4"/>
      <c r="H315" s="4" t="s">
        <v>35</v>
      </c>
      <c r="I315" s="4"/>
      <c r="J315" s="5"/>
      <c r="K315" s="5"/>
      <c r="L315" s="4"/>
      <c r="M315" s="4" t="s">
        <v>60</v>
      </c>
      <c r="N315" s="4" t="s">
        <v>36</v>
      </c>
      <c r="O315" s="4" t="s">
        <v>53</v>
      </c>
      <c r="P315" s="4"/>
      <c r="Q315" s="4"/>
      <c r="R315" s="4" t="s">
        <v>1434</v>
      </c>
      <c r="S315" s="4"/>
      <c r="T315" s="4"/>
      <c r="U315" s="4" t="s">
        <v>56</v>
      </c>
      <c r="V315" s="6"/>
      <c r="W315" s="4" t="s">
        <v>57</v>
      </c>
    </row>
    <row r="316" customFormat="false" ht="15" hidden="false" customHeight="false" outlineLevel="0" collapsed="false">
      <c r="A316" s="4" t="s">
        <v>1435</v>
      </c>
      <c r="B316" s="4" t="s">
        <v>1436</v>
      </c>
      <c r="C316" s="4" t="s">
        <v>117</v>
      </c>
      <c r="D316" s="4" t="s">
        <v>1437</v>
      </c>
      <c r="E316" s="4"/>
      <c r="F316" s="4" t="s">
        <v>1428</v>
      </c>
      <c r="G316" s="4"/>
      <c r="H316" s="4" t="s">
        <v>35</v>
      </c>
      <c r="I316" s="4"/>
      <c r="J316" s="5"/>
      <c r="K316" s="5"/>
      <c r="L316" s="4"/>
      <c r="M316" s="4" t="s">
        <v>60</v>
      </c>
      <c r="N316" s="4" t="s">
        <v>36</v>
      </c>
      <c r="O316" s="4" t="s">
        <v>53</v>
      </c>
      <c r="P316" s="4"/>
      <c r="Q316" s="4" t="s">
        <v>1438</v>
      </c>
      <c r="R316" s="4" t="s">
        <v>1439</v>
      </c>
      <c r="S316" s="4"/>
      <c r="T316" s="4"/>
      <c r="U316" s="4" t="s">
        <v>56</v>
      </c>
      <c r="V316" s="6"/>
      <c r="W316" s="4" t="s">
        <v>57</v>
      </c>
    </row>
    <row r="317" customFormat="false" ht="15" hidden="false" customHeight="false" outlineLevel="0" collapsed="false">
      <c r="A317" s="4" t="s">
        <v>1440</v>
      </c>
      <c r="B317" s="4" t="s">
        <v>1441</v>
      </c>
      <c r="C317" s="4" t="s">
        <v>117</v>
      </c>
      <c r="D317" s="4" t="s">
        <v>1442</v>
      </c>
      <c r="E317" s="4"/>
      <c r="F317" s="4" t="s">
        <v>1428</v>
      </c>
      <c r="G317" s="4"/>
      <c r="H317" s="4" t="s">
        <v>35</v>
      </c>
      <c r="I317" s="4"/>
      <c r="J317" s="5"/>
      <c r="K317" s="5"/>
      <c r="L317" s="4"/>
      <c r="M317" s="4" t="s">
        <v>60</v>
      </c>
      <c r="N317" s="4" t="s">
        <v>36</v>
      </c>
      <c r="O317" s="4" t="s">
        <v>53</v>
      </c>
      <c r="P317" s="4"/>
      <c r="Q317" s="4"/>
      <c r="R317" s="4" t="s">
        <v>1443</v>
      </c>
      <c r="S317" s="4"/>
      <c r="T317" s="4"/>
      <c r="U317" s="4" t="s">
        <v>56</v>
      </c>
      <c r="V317" s="6"/>
      <c r="W317" s="4" t="s">
        <v>57</v>
      </c>
    </row>
    <row r="318" customFormat="false" ht="15" hidden="false" customHeight="false" outlineLevel="0" collapsed="false">
      <c r="A318" s="4" t="s">
        <v>1444</v>
      </c>
      <c r="B318" s="4" t="s">
        <v>1445</v>
      </c>
      <c r="C318" s="4" t="s">
        <v>117</v>
      </c>
      <c r="D318" s="4" t="s">
        <v>1446</v>
      </c>
      <c r="E318" s="4"/>
      <c r="F318" s="4" t="s">
        <v>1428</v>
      </c>
      <c r="G318" s="4"/>
      <c r="H318" s="4" t="s">
        <v>35</v>
      </c>
      <c r="I318" s="4"/>
      <c r="J318" s="5"/>
      <c r="K318" s="5"/>
      <c r="L318" s="4"/>
      <c r="M318" s="4" t="s">
        <v>60</v>
      </c>
      <c r="N318" s="4" t="s">
        <v>36</v>
      </c>
      <c r="O318" s="4" t="s">
        <v>53</v>
      </c>
      <c r="P318" s="4"/>
      <c r="Q318" s="4"/>
      <c r="R318" s="4" t="s">
        <v>1447</v>
      </c>
      <c r="S318" s="4"/>
      <c r="T318" s="4"/>
      <c r="U318" s="4" t="s">
        <v>56</v>
      </c>
      <c r="V318" s="6"/>
      <c r="W318" s="4" t="s">
        <v>57</v>
      </c>
    </row>
    <row r="319" customFormat="false" ht="15" hidden="false" customHeight="false" outlineLevel="0" collapsed="false">
      <c r="A319" s="4" t="s">
        <v>1448</v>
      </c>
      <c r="B319" s="4" t="s">
        <v>1449</v>
      </c>
      <c r="C319" s="4" t="s">
        <v>111</v>
      </c>
      <c r="D319" s="4" t="s">
        <v>1450</v>
      </c>
      <c r="E319" s="4"/>
      <c r="F319" s="4" t="s">
        <v>1451</v>
      </c>
      <c r="G319" s="4"/>
      <c r="H319" s="4" t="s">
        <v>35</v>
      </c>
      <c r="I319" s="4"/>
      <c r="J319" s="5"/>
      <c r="K319" s="5"/>
      <c r="L319" s="4"/>
      <c r="M319" s="4" t="s">
        <v>36</v>
      </c>
      <c r="N319" s="4" t="s">
        <v>36</v>
      </c>
      <c r="O319" s="4" t="s">
        <v>53</v>
      </c>
      <c r="P319" s="4"/>
      <c r="Q319" s="4" t="s">
        <v>1452</v>
      </c>
      <c r="R319" s="4" t="s">
        <v>1453</v>
      </c>
      <c r="S319" s="4"/>
      <c r="T319" s="4"/>
      <c r="U319" s="4" t="s">
        <v>56</v>
      </c>
      <c r="V319" s="6"/>
      <c r="W319" s="4" t="s">
        <v>57</v>
      </c>
    </row>
    <row r="320" customFormat="false" ht="15" hidden="false" customHeight="false" outlineLevel="0" collapsed="false">
      <c r="A320" s="4" t="s">
        <v>1454</v>
      </c>
      <c r="B320" s="4" t="s">
        <v>1455</v>
      </c>
      <c r="C320" s="4" t="s">
        <v>111</v>
      </c>
      <c r="D320" s="4" t="s">
        <v>1450</v>
      </c>
      <c r="E320" s="4"/>
      <c r="F320" s="4" t="s">
        <v>1451</v>
      </c>
      <c r="G320" s="4"/>
      <c r="H320" s="4" t="s">
        <v>35</v>
      </c>
      <c r="I320" s="4"/>
      <c r="J320" s="5"/>
      <c r="K320" s="5"/>
      <c r="L320" s="4"/>
      <c r="M320" s="4" t="s">
        <v>36</v>
      </c>
      <c r="N320" s="4" t="s">
        <v>36</v>
      </c>
      <c r="O320" s="4" t="s">
        <v>53</v>
      </c>
      <c r="P320" s="4"/>
      <c r="Q320" s="4" t="s">
        <v>1456</v>
      </c>
      <c r="R320" s="4" t="s">
        <v>1457</v>
      </c>
      <c r="S320" s="4"/>
      <c r="T320" s="4"/>
      <c r="U320" s="4" t="s">
        <v>56</v>
      </c>
      <c r="V320" s="6"/>
      <c r="W320" s="4" t="s">
        <v>57</v>
      </c>
    </row>
    <row r="321" customFormat="false" ht="15" hidden="false" customHeight="false" outlineLevel="0" collapsed="false">
      <c r="A321" s="4" t="s">
        <v>1458</v>
      </c>
      <c r="B321" s="4" t="s">
        <v>1459</v>
      </c>
      <c r="C321" s="4" t="s">
        <v>32</v>
      </c>
      <c r="D321" s="4" t="s">
        <v>1450</v>
      </c>
      <c r="E321" s="4"/>
      <c r="F321" s="4" t="s">
        <v>1451</v>
      </c>
      <c r="G321" s="4"/>
      <c r="H321" s="4" t="s">
        <v>35</v>
      </c>
      <c r="I321" s="4"/>
      <c r="J321" s="5"/>
      <c r="K321" s="5"/>
      <c r="L321" s="4"/>
      <c r="M321" s="4" t="s">
        <v>60</v>
      </c>
      <c r="N321" s="4" t="s">
        <v>36</v>
      </c>
      <c r="O321" s="4" t="s">
        <v>53</v>
      </c>
      <c r="P321" s="4"/>
      <c r="Q321" s="4" t="s">
        <v>1460</v>
      </c>
      <c r="R321" s="4" t="s">
        <v>1461</v>
      </c>
      <c r="S321" s="4"/>
      <c r="T321" s="4"/>
      <c r="U321" s="4" t="s">
        <v>56</v>
      </c>
      <c r="V321" s="6"/>
      <c r="W321" s="4" t="s">
        <v>57</v>
      </c>
    </row>
    <row r="322" customFormat="false" ht="15" hidden="false" customHeight="false" outlineLevel="0" collapsed="false">
      <c r="A322" s="4" t="s">
        <v>1462</v>
      </c>
      <c r="B322" s="4" t="s">
        <v>1463</v>
      </c>
      <c r="C322" s="4" t="s">
        <v>32</v>
      </c>
      <c r="D322" s="4" t="s">
        <v>1450</v>
      </c>
      <c r="E322" s="4"/>
      <c r="F322" s="4" t="s">
        <v>1451</v>
      </c>
      <c r="G322" s="4"/>
      <c r="H322" s="4" t="s">
        <v>35</v>
      </c>
      <c r="I322" s="4"/>
      <c r="J322" s="5"/>
      <c r="K322" s="5"/>
      <c r="L322" s="4"/>
      <c r="M322" s="4" t="s">
        <v>60</v>
      </c>
      <c r="N322" s="4" t="s">
        <v>36</v>
      </c>
      <c r="O322" s="4" t="s">
        <v>53</v>
      </c>
      <c r="P322" s="4"/>
      <c r="Q322" s="4" t="s">
        <v>1464</v>
      </c>
      <c r="R322" s="4" t="s">
        <v>1465</v>
      </c>
      <c r="S322" s="4"/>
      <c r="T322" s="4"/>
      <c r="U322" s="4" t="s">
        <v>56</v>
      </c>
      <c r="V322" s="6"/>
      <c r="W322" s="4" t="s">
        <v>57</v>
      </c>
    </row>
    <row r="323" customFormat="false" ht="15" hidden="false" customHeight="false" outlineLevel="0" collapsed="false">
      <c r="A323" s="4" t="s">
        <v>1466</v>
      </c>
      <c r="B323" s="4" t="s">
        <v>1467</v>
      </c>
      <c r="C323" s="4" t="s">
        <v>32</v>
      </c>
      <c r="D323" s="4" t="s">
        <v>1468</v>
      </c>
      <c r="E323" s="4"/>
      <c r="F323" s="4" t="s">
        <v>1451</v>
      </c>
      <c r="G323" s="4"/>
      <c r="H323" s="4" t="s">
        <v>35</v>
      </c>
      <c r="I323" s="4"/>
      <c r="J323" s="5"/>
      <c r="K323" s="5"/>
      <c r="L323" s="4"/>
      <c r="M323" s="4" t="s">
        <v>36</v>
      </c>
      <c r="N323" s="4" t="s">
        <v>36</v>
      </c>
      <c r="O323" s="4" t="s">
        <v>53</v>
      </c>
      <c r="P323" s="4"/>
      <c r="Q323" s="4" t="s">
        <v>1469</v>
      </c>
      <c r="R323" s="4" t="s">
        <v>1470</v>
      </c>
      <c r="S323" s="4"/>
      <c r="T323" s="4"/>
      <c r="U323" s="4" t="s">
        <v>56</v>
      </c>
      <c r="V323" s="6"/>
      <c r="W323" s="4" t="s">
        <v>57</v>
      </c>
    </row>
    <row r="324" customFormat="false" ht="15" hidden="false" customHeight="false" outlineLevel="0" collapsed="false">
      <c r="A324" s="4" t="s">
        <v>1471</v>
      </c>
      <c r="B324" s="4" t="s">
        <v>1472</v>
      </c>
      <c r="C324" s="4" t="s">
        <v>32</v>
      </c>
      <c r="D324" s="4" t="s">
        <v>1468</v>
      </c>
      <c r="E324" s="4"/>
      <c r="F324" s="4" t="s">
        <v>1451</v>
      </c>
      <c r="G324" s="4"/>
      <c r="H324" s="4" t="s">
        <v>35</v>
      </c>
      <c r="I324" s="4"/>
      <c r="J324" s="5"/>
      <c r="K324" s="5"/>
      <c r="L324" s="4"/>
      <c r="M324" s="4" t="s">
        <v>60</v>
      </c>
      <c r="N324" s="4" t="s">
        <v>36</v>
      </c>
      <c r="O324" s="4" t="s">
        <v>53</v>
      </c>
      <c r="P324" s="4"/>
      <c r="Q324" s="4" t="s">
        <v>1473</v>
      </c>
      <c r="R324" s="4" t="s">
        <v>1474</v>
      </c>
      <c r="S324" s="4"/>
      <c r="T324" s="4"/>
      <c r="U324" s="4" t="s">
        <v>56</v>
      </c>
      <c r="V324" s="6"/>
      <c r="W324" s="4" t="s">
        <v>57</v>
      </c>
    </row>
    <row r="325" customFormat="false" ht="15" hidden="false" customHeight="false" outlineLevel="0" collapsed="false">
      <c r="A325" s="4" t="s">
        <v>1475</v>
      </c>
      <c r="B325" s="4" t="s">
        <v>1476</v>
      </c>
      <c r="C325" s="4" t="s">
        <v>111</v>
      </c>
      <c r="D325" s="4" t="s">
        <v>1477</v>
      </c>
      <c r="E325" s="4"/>
      <c r="F325" s="4" t="s">
        <v>1451</v>
      </c>
      <c r="G325" s="4"/>
      <c r="H325" s="4" t="s">
        <v>35</v>
      </c>
      <c r="I325" s="4"/>
      <c r="J325" s="5"/>
      <c r="K325" s="5"/>
      <c r="L325" s="4"/>
      <c r="M325" s="4" t="s">
        <v>36</v>
      </c>
      <c r="N325" s="4" t="s">
        <v>36</v>
      </c>
      <c r="O325" s="4" t="s">
        <v>53</v>
      </c>
      <c r="P325" s="4"/>
      <c r="Q325" s="4" t="s">
        <v>1478</v>
      </c>
      <c r="R325" s="4" t="s">
        <v>1479</v>
      </c>
      <c r="S325" s="4"/>
      <c r="T325" s="4"/>
      <c r="U325" s="4" t="s">
        <v>56</v>
      </c>
      <c r="V325" s="6"/>
      <c r="W325" s="4" t="s">
        <v>57</v>
      </c>
    </row>
    <row r="326" customFormat="false" ht="15" hidden="false" customHeight="false" outlineLevel="0" collapsed="false">
      <c r="A326" s="4" t="s">
        <v>1480</v>
      </c>
      <c r="B326" s="4" t="s">
        <v>1481</v>
      </c>
      <c r="C326" s="4" t="s">
        <v>117</v>
      </c>
      <c r="D326" s="4" t="s">
        <v>1477</v>
      </c>
      <c r="E326" s="4"/>
      <c r="F326" s="4" t="s">
        <v>1451</v>
      </c>
      <c r="G326" s="4"/>
      <c r="H326" s="4" t="s">
        <v>35</v>
      </c>
      <c r="I326" s="4"/>
      <c r="J326" s="5"/>
      <c r="K326" s="5"/>
      <c r="L326" s="4"/>
      <c r="M326" s="4" t="s">
        <v>60</v>
      </c>
      <c r="N326" s="4" t="s">
        <v>36</v>
      </c>
      <c r="O326" s="4" t="s">
        <v>53</v>
      </c>
      <c r="P326" s="4"/>
      <c r="Q326" s="4" t="s">
        <v>1482</v>
      </c>
      <c r="R326" s="4" t="s">
        <v>1483</v>
      </c>
      <c r="S326" s="4"/>
      <c r="T326" s="4"/>
      <c r="U326" s="4" t="s">
        <v>56</v>
      </c>
      <c r="V326" s="6"/>
      <c r="W326" s="4" t="s">
        <v>57</v>
      </c>
    </row>
    <row r="327" customFormat="false" ht="15" hidden="false" customHeight="false" outlineLevel="0" collapsed="false">
      <c r="A327" s="4" t="s">
        <v>1484</v>
      </c>
      <c r="B327" s="4" t="s">
        <v>1485</v>
      </c>
      <c r="C327" s="4" t="s">
        <v>117</v>
      </c>
      <c r="D327" s="4" t="s">
        <v>1486</v>
      </c>
      <c r="E327" s="4"/>
      <c r="F327" s="4" t="s">
        <v>1451</v>
      </c>
      <c r="G327" s="4"/>
      <c r="H327" s="4" t="s">
        <v>35</v>
      </c>
      <c r="I327" s="4"/>
      <c r="J327" s="5"/>
      <c r="K327" s="5"/>
      <c r="L327" s="4"/>
      <c r="M327" s="4" t="s">
        <v>36</v>
      </c>
      <c r="N327" s="4" t="s">
        <v>36</v>
      </c>
      <c r="O327" s="4" t="s">
        <v>53</v>
      </c>
      <c r="P327" s="4"/>
      <c r="Q327" s="4" t="s">
        <v>1487</v>
      </c>
      <c r="R327" s="4" t="s">
        <v>1488</v>
      </c>
      <c r="S327" s="4"/>
      <c r="T327" s="4"/>
      <c r="U327" s="4" t="s">
        <v>56</v>
      </c>
      <c r="V327" s="6"/>
      <c r="W327" s="4" t="s">
        <v>57</v>
      </c>
    </row>
    <row r="328" customFormat="false" ht="15" hidden="false" customHeight="false" outlineLevel="0" collapsed="false">
      <c r="A328" s="4" t="s">
        <v>1489</v>
      </c>
      <c r="B328" s="4" t="s">
        <v>1490</v>
      </c>
      <c r="C328" s="4" t="s">
        <v>117</v>
      </c>
      <c r="D328" s="4" t="s">
        <v>1486</v>
      </c>
      <c r="E328" s="4"/>
      <c r="F328" s="4" t="s">
        <v>1451</v>
      </c>
      <c r="G328" s="4"/>
      <c r="H328" s="4" t="s">
        <v>35</v>
      </c>
      <c r="I328" s="4"/>
      <c r="J328" s="5"/>
      <c r="K328" s="5"/>
      <c r="L328" s="4"/>
      <c r="M328" s="4" t="s">
        <v>60</v>
      </c>
      <c r="N328" s="4" t="s">
        <v>36</v>
      </c>
      <c r="O328" s="4" t="s">
        <v>53</v>
      </c>
      <c r="P328" s="4"/>
      <c r="Q328" s="4" t="s">
        <v>1491</v>
      </c>
      <c r="R328" s="4" t="s">
        <v>1492</v>
      </c>
      <c r="S328" s="4"/>
      <c r="T328" s="4"/>
      <c r="U328" s="4" t="s">
        <v>56</v>
      </c>
      <c r="V328" s="6"/>
      <c r="W328" s="4" t="s">
        <v>57</v>
      </c>
    </row>
    <row r="329" customFormat="false" ht="15" hidden="false" customHeight="false" outlineLevel="0" collapsed="false">
      <c r="A329" s="4" t="s">
        <v>1493</v>
      </c>
      <c r="B329" s="4" t="s">
        <v>1494</v>
      </c>
      <c r="C329" s="4" t="s">
        <v>117</v>
      </c>
      <c r="D329" s="4" t="s">
        <v>1495</v>
      </c>
      <c r="E329" s="4"/>
      <c r="F329" s="4" t="s">
        <v>1451</v>
      </c>
      <c r="G329" s="4"/>
      <c r="H329" s="4" t="s">
        <v>35</v>
      </c>
      <c r="I329" s="4"/>
      <c r="J329" s="5"/>
      <c r="K329" s="5"/>
      <c r="L329" s="4"/>
      <c r="M329" s="4" t="s">
        <v>36</v>
      </c>
      <c r="N329" s="4" t="s">
        <v>36</v>
      </c>
      <c r="O329" s="4" t="s">
        <v>53</v>
      </c>
      <c r="P329" s="4"/>
      <c r="Q329" s="4"/>
      <c r="R329" s="4" t="s">
        <v>1496</v>
      </c>
      <c r="S329" s="4"/>
      <c r="T329" s="4"/>
      <c r="U329" s="4" t="s">
        <v>56</v>
      </c>
      <c r="V329" s="6"/>
      <c r="W329" s="4" t="s">
        <v>57</v>
      </c>
    </row>
    <row r="330" customFormat="false" ht="15" hidden="false" customHeight="false" outlineLevel="0" collapsed="false">
      <c r="A330" s="4" t="s">
        <v>1497</v>
      </c>
      <c r="B330" s="4" t="s">
        <v>1498</v>
      </c>
      <c r="C330" s="4" t="s">
        <v>117</v>
      </c>
      <c r="D330" s="4" t="s">
        <v>1499</v>
      </c>
      <c r="E330" s="4"/>
      <c r="F330" s="4" t="s">
        <v>1451</v>
      </c>
      <c r="G330" s="4"/>
      <c r="H330" s="4" t="s">
        <v>35</v>
      </c>
      <c r="I330" s="4"/>
      <c r="J330" s="5"/>
      <c r="K330" s="5"/>
      <c r="L330" s="4"/>
      <c r="M330" s="4" t="s">
        <v>36</v>
      </c>
      <c r="N330" s="4" t="s">
        <v>36</v>
      </c>
      <c r="O330" s="4" t="s">
        <v>53</v>
      </c>
      <c r="P330" s="4"/>
      <c r="Q330" s="4"/>
      <c r="R330" s="4" t="s">
        <v>1500</v>
      </c>
      <c r="S330" s="4"/>
      <c r="T330" s="4"/>
      <c r="U330" s="4" t="s">
        <v>56</v>
      </c>
      <c r="V330" s="6"/>
      <c r="W330" s="4" t="s">
        <v>57</v>
      </c>
    </row>
    <row r="331" customFormat="false" ht="15" hidden="false" customHeight="false" outlineLevel="0" collapsed="false">
      <c r="A331" s="4" t="s">
        <v>1501</v>
      </c>
      <c r="B331" s="4" t="s">
        <v>1502</v>
      </c>
      <c r="C331" s="4" t="s">
        <v>117</v>
      </c>
      <c r="D331" s="4" t="s">
        <v>1503</v>
      </c>
      <c r="E331" s="4"/>
      <c r="F331" s="4" t="s">
        <v>1451</v>
      </c>
      <c r="G331" s="4"/>
      <c r="H331" s="4" t="s">
        <v>35</v>
      </c>
      <c r="I331" s="4"/>
      <c r="J331" s="5"/>
      <c r="K331" s="5"/>
      <c r="L331" s="4"/>
      <c r="M331" s="4" t="s">
        <v>60</v>
      </c>
      <c r="N331" s="4" t="s">
        <v>36</v>
      </c>
      <c r="O331" s="4" t="s">
        <v>53</v>
      </c>
      <c r="P331" s="4"/>
      <c r="Q331" s="4"/>
      <c r="R331" s="4" t="s">
        <v>1504</v>
      </c>
      <c r="S331" s="4"/>
      <c r="T331" s="4"/>
      <c r="U331" s="4" t="s">
        <v>56</v>
      </c>
      <c r="V331" s="6"/>
      <c r="W331" s="4" t="s">
        <v>57</v>
      </c>
    </row>
    <row r="332" customFormat="false" ht="15" hidden="false" customHeight="false" outlineLevel="0" collapsed="false">
      <c r="A332" s="4" t="s">
        <v>1505</v>
      </c>
      <c r="B332" s="4" t="s">
        <v>1506</v>
      </c>
      <c r="C332" s="4" t="s">
        <v>117</v>
      </c>
      <c r="D332" s="4" t="s">
        <v>1507</v>
      </c>
      <c r="E332" s="4"/>
      <c r="F332" s="4" t="s">
        <v>1451</v>
      </c>
      <c r="G332" s="4"/>
      <c r="H332" s="4" t="s">
        <v>35</v>
      </c>
      <c r="I332" s="4"/>
      <c r="J332" s="5"/>
      <c r="K332" s="5"/>
      <c r="L332" s="4"/>
      <c r="M332" s="4" t="s">
        <v>60</v>
      </c>
      <c r="N332" s="4" t="s">
        <v>36</v>
      </c>
      <c r="O332" s="4" t="s">
        <v>53</v>
      </c>
      <c r="P332" s="4"/>
      <c r="Q332" s="4"/>
      <c r="R332" s="4" t="s">
        <v>1508</v>
      </c>
      <c r="S332" s="4"/>
      <c r="T332" s="4"/>
      <c r="U332" s="4" t="s">
        <v>56</v>
      </c>
      <c r="V332" s="6"/>
      <c r="W332" s="4" t="s">
        <v>57</v>
      </c>
    </row>
    <row r="333" customFormat="false" ht="15" hidden="false" customHeight="false" outlineLevel="0" collapsed="false">
      <c r="A333" s="4" t="s">
        <v>1509</v>
      </c>
      <c r="B333" s="4" t="s">
        <v>1510</v>
      </c>
      <c r="C333" s="4" t="s">
        <v>117</v>
      </c>
      <c r="D333" s="4" t="s">
        <v>1511</v>
      </c>
      <c r="E333" s="4"/>
      <c r="F333" s="4" t="s">
        <v>1451</v>
      </c>
      <c r="G333" s="4"/>
      <c r="H333" s="4" t="s">
        <v>35</v>
      </c>
      <c r="I333" s="4"/>
      <c r="J333" s="5"/>
      <c r="K333" s="5"/>
      <c r="L333" s="4"/>
      <c r="M333" s="4" t="s">
        <v>60</v>
      </c>
      <c r="N333" s="4" t="s">
        <v>36</v>
      </c>
      <c r="O333" s="4" t="s">
        <v>53</v>
      </c>
      <c r="P333" s="4"/>
      <c r="Q333" s="4"/>
      <c r="R333" s="4" t="s">
        <v>1512</v>
      </c>
      <c r="S333" s="4"/>
      <c r="T333" s="4"/>
      <c r="U333" s="4" t="s">
        <v>56</v>
      </c>
      <c r="V333" s="6"/>
      <c r="W333" s="4" t="s">
        <v>57</v>
      </c>
    </row>
    <row r="334" customFormat="false" ht="15" hidden="false" customHeight="false" outlineLevel="0" collapsed="false">
      <c r="A334" s="4" t="s">
        <v>1513</v>
      </c>
      <c r="B334" s="4" t="s">
        <v>1514</v>
      </c>
      <c r="C334" s="4" t="s">
        <v>117</v>
      </c>
      <c r="D334" s="4" t="s">
        <v>1515</v>
      </c>
      <c r="E334" s="4"/>
      <c r="F334" s="4" t="s">
        <v>1451</v>
      </c>
      <c r="G334" s="4"/>
      <c r="H334" s="4" t="s">
        <v>35</v>
      </c>
      <c r="I334" s="4"/>
      <c r="J334" s="5"/>
      <c r="K334" s="5"/>
      <c r="L334" s="4"/>
      <c r="M334" s="4" t="s">
        <v>60</v>
      </c>
      <c r="N334" s="4" t="s">
        <v>36</v>
      </c>
      <c r="O334" s="4" t="s">
        <v>53</v>
      </c>
      <c r="P334" s="4"/>
      <c r="Q334" s="4"/>
      <c r="R334" s="4" t="s">
        <v>1516</v>
      </c>
      <c r="S334" s="4"/>
      <c r="T334" s="4"/>
      <c r="U334" s="4" t="s">
        <v>56</v>
      </c>
      <c r="V334" s="6"/>
      <c r="W334" s="4" t="s">
        <v>57</v>
      </c>
    </row>
    <row r="335" customFormat="false" ht="15" hidden="false" customHeight="false" outlineLevel="0" collapsed="false">
      <c r="A335" s="4" t="s">
        <v>1517</v>
      </c>
      <c r="B335" s="4" t="s">
        <v>1518</v>
      </c>
      <c r="C335" s="4" t="s">
        <v>117</v>
      </c>
      <c r="D335" s="4" t="s">
        <v>1519</v>
      </c>
      <c r="E335" s="4"/>
      <c r="F335" s="4" t="s">
        <v>1451</v>
      </c>
      <c r="G335" s="4"/>
      <c r="H335" s="4" t="s">
        <v>35</v>
      </c>
      <c r="I335" s="4"/>
      <c r="J335" s="5"/>
      <c r="K335" s="5"/>
      <c r="L335" s="4"/>
      <c r="M335" s="4" t="s">
        <v>60</v>
      </c>
      <c r="N335" s="4" t="s">
        <v>36</v>
      </c>
      <c r="O335" s="4" t="s">
        <v>53</v>
      </c>
      <c r="P335" s="4"/>
      <c r="Q335" s="4"/>
      <c r="R335" s="4" t="s">
        <v>1520</v>
      </c>
      <c r="S335" s="4"/>
      <c r="T335" s="4"/>
      <c r="U335" s="4" t="s">
        <v>56</v>
      </c>
      <c r="V335" s="6"/>
      <c r="W335" s="4" t="s">
        <v>57</v>
      </c>
    </row>
    <row r="336" customFormat="false" ht="15" hidden="false" customHeight="false" outlineLevel="0" collapsed="false">
      <c r="A336" s="4" t="s">
        <v>1521</v>
      </c>
      <c r="B336" s="4" t="s">
        <v>1522</v>
      </c>
      <c r="C336" s="4" t="s">
        <v>117</v>
      </c>
      <c r="D336" s="4" t="s">
        <v>1523</v>
      </c>
      <c r="E336" s="4"/>
      <c r="F336" s="4" t="s">
        <v>1451</v>
      </c>
      <c r="G336" s="4"/>
      <c r="H336" s="4" t="s">
        <v>35</v>
      </c>
      <c r="I336" s="4"/>
      <c r="J336" s="5"/>
      <c r="K336" s="5"/>
      <c r="L336" s="4"/>
      <c r="M336" s="4" t="s">
        <v>60</v>
      </c>
      <c r="N336" s="4" t="s">
        <v>36</v>
      </c>
      <c r="O336" s="4" t="s">
        <v>53</v>
      </c>
      <c r="P336" s="4"/>
      <c r="Q336" s="4" t="s">
        <v>1522</v>
      </c>
      <c r="R336" s="4" t="s">
        <v>1524</v>
      </c>
      <c r="S336" s="4"/>
      <c r="T336" s="4"/>
      <c r="U336" s="4" t="s">
        <v>56</v>
      </c>
      <c r="V336" s="6"/>
      <c r="W336" s="4" t="s">
        <v>57</v>
      </c>
    </row>
    <row r="337" customFormat="false" ht="15" hidden="false" customHeight="false" outlineLevel="0" collapsed="false">
      <c r="A337" s="4" t="s">
        <v>1525</v>
      </c>
      <c r="B337" s="4" t="s">
        <v>1526</v>
      </c>
      <c r="C337" s="4" t="s">
        <v>117</v>
      </c>
      <c r="D337" s="4" t="s">
        <v>1527</v>
      </c>
      <c r="E337" s="4"/>
      <c r="F337" s="4" t="s">
        <v>1451</v>
      </c>
      <c r="G337" s="4"/>
      <c r="H337" s="4" t="s">
        <v>35</v>
      </c>
      <c r="I337" s="4"/>
      <c r="J337" s="5"/>
      <c r="K337" s="5"/>
      <c r="L337" s="4"/>
      <c r="M337" s="4" t="s">
        <v>60</v>
      </c>
      <c r="N337" s="4" t="s">
        <v>36</v>
      </c>
      <c r="O337" s="4" t="s">
        <v>53</v>
      </c>
      <c r="P337" s="4"/>
      <c r="Q337" s="4"/>
      <c r="R337" s="4" t="s">
        <v>1528</v>
      </c>
      <c r="S337" s="4"/>
      <c r="T337" s="4"/>
      <c r="U337" s="4" t="s">
        <v>56</v>
      </c>
      <c r="V337" s="6"/>
      <c r="W337" s="4" t="s">
        <v>57</v>
      </c>
    </row>
    <row r="338" customFormat="false" ht="15" hidden="false" customHeight="false" outlineLevel="0" collapsed="false">
      <c r="A338" s="4" t="s">
        <v>1529</v>
      </c>
      <c r="B338" s="4" t="s">
        <v>1530</v>
      </c>
      <c r="C338" s="4" t="s">
        <v>117</v>
      </c>
      <c r="D338" s="4" t="s">
        <v>1531</v>
      </c>
      <c r="E338" s="4"/>
      <c r="F338" s="4" t="s">
        <v>1451</v>
      </c>
      <c r="G338" s="4"/>
      <c r="H338" s="4" t="s">
        <v>35</v>
      </c>
      <c r="I338" s="4"/>
      <c r="J338" s="5"/>
      <c r="K338" s="5"/>
      <c r="L338" s="4"/>
      <c r="M338" s="4" t="s">
        <v>60</v>
      </c>
      <c r="N338" s="4" t="s">
        <v>36</v>
      </c>
      <c r="O338" s="4" t="s">
        <v>53</v>
      </c>
      <c r="P338" s="4"/>
      <c r="Q338" s="4"/>
      <c r="R338" s="4" t="s">
        <v>1532</v>
      </c>
      <c r="S338" s="4"/>
      <c r="T338" s="4"/>
      <c r="U338" s="4" t="s">
        <v>56</v>
      </c>
      <c r="V338" s="6"/>
      <c r="W338" s="4" t="s">
        <v>57</v>
      </c>
    </row>
    <row r="339" customFormat="false" ht="15" hidden="false" customHeight="false" outlineLevel="0" collapsed="false">
      <c r="A339" s="4" t="s">
        <v>1533</v>
      </c>
      <c r="B339" s="4" t="s">
        <v>1534</v>
      </c>
      <c r="C339" s="4" t="s">
        <v>117</v>
      </c>
      <c r="D339" s="4" t="s">
        <v>1535</v>
      </c>
      <c r="E339" s="4"/>
      <c r="F339" s="4" t="s">
        <v>1451</v>
      </c>
      <c r="G339" s="4"/>
      <c r="H339" s="4" t="s">
        <v>35</v>
      </c>
      <c r="I339" s="4"/>
      <c r="J339" s="5"/>
      <c r="K339" s="5"/>
      <c r="L339" s="4"/>
      <c r="M339" s="4" t="s">
        <v>60</v>
      </c>
      <c r="N339" s="4" t="s">
        <v>36</v>
      </c>
      <c r="O339" s="4" t="s">
        <v>53</v>
      </c>
      <c r="P339" s="4"/>
      <c r="Q339" s="4"/>
      <c r="R339" s="4" t="s">
        <v>1536</v>
      </c>
      <c r="S339" s="4"/>
      <c r="T339" s="4"/>
      <c r="U339" s="4" t="s">
        <v>56</v>
      </c>
      <c r="V339" s="6"/>
      <c r="W339" s="4" t="s">
        <v>57</v>
      </c>
    </row>
    <row r="340" customFormat="false" ht="15" hidden="false" customHeight="false" outlineLevel="0" collapsed="false">
      <c r="A340" s="4" t="s">
        <v>1537</v>
      </c>
      <c r="B340" s="4" t="s">
        <v>1538</v>
      </c>
      <c r="C340" s="4" t="s">
        <v>117</v>
      </c>
      <c r="D340" s="4" t="s">
        <v>1539</v>
      </c>
      <c r="E340" s="4"/>
      <c r="F340" s="4" t="s">
        <v>1451</v>
      </c>
      <c r="G340" s="4"/>
      <c r="H340" s="4" t="s">
        <v>35</v>
      </c>
      <c r="I340" s="4"/>
      <c r="J340" s="5"/>
      <c r="K340" s="5"/>
      <c r="L340" s="4"/>
      <c r="M340" s="4" t="s">
        <v>60</v>
      </c>
      <c r="N340" s="4" t="s">
        <v>36</v>
      </c>
      <c r="O340" s="4" t="s">
        <v>53</v>
      </c>
      <c r="P340" s="4"/>
      <c r="Q340" s="4"/>
      <c r="R340" s="4" t="s">
        <v>1540</v>
      </c>
      <c r="S340" s="4"/>
      <c r="T340" s="4"/>
      <c r="U340" s="4" t="s">
        <v>56</v>
      </c>
      <c r="V340" s="6"/>
      <c r="W340" s="4" t="s">
        <v>57</v>
      </c>
    </row>
    <row r="341" customFormat="false" ht="15" hidden="false" customHeight="false" outlineLevel="0" collapsed="false">
      <c r="A341" s="4" t="s">
        <v>1541</v>
      </c>
      <c r="B341" s="4" t="s">
        <v>1542</v>
      </c>
      <c r="C341" s="4" t="s">
        <v>117</v>
      </c>
      <c r="D341" s="4" t="s">
        <v>1543</v>
      </c>
      <c r="E341" s="4"/>
      <c r="F341" s="4" t="s">
        <v>1451</v>
      </c>
      <c r="G341" s="4"/>
      <c r="H341" s="4" t="s">
        <v>35</v>
      </c>
      <c r="I341" s="4"/>
      <c r="J341" s="5"/>
      <c r="K341" s="5"/>
      <c r="L341" s="4"/>
      <c r="M341" s="4" t="s">
        <v>60</v>
      </c>
      <c r="N341" s="4" t="s">
        <v>36</v>
      </c>
      <c r="O341" s="4" t="s">
        <v>53</v>
      </c>
      <c r="P341" s="4"/>
      <c r="Q341" s="4"/>
      <c r="R341" s="4" t="s">
        <v>1544</v>
      </c>
      <c r="S341" s="4"/>
      <c r="T341" s="4"/>
      <c r="U341" s="4" t="s">
        <v>56</v>
      </c>
      <c r="V341" s="6"/>
      <c r="W341" s="4" t="s">
        <v>57</v>
      </c>
    </row>
    <row r="342" customFormat="false" ht="15" hidden="false" customHeight="false" outlineLevel="0" collapsed="false">
      <c r="A342" s="4" t="s">
        <v>1545</v>
      </c>
      <c r="B342" s="4" t="s">
        <v>1546</v>
      </c>
      <c r="C342" s="4" t="s">
        <v>117</v>
      </c>
      <c r="D342" s="4" t="s">
        <v>1547</v>
      </c>
      <c r="E342" s="4"/>
      <c r="F342" s="4" t="s">
        <v>1451</v>
      </c>
      <c r="G342" s="4"/>
      <c r="H342" s="4" t="s">
        <v>35</v>
      </c>
      <c r="I342" s="4"/>
      <c r="J342" s="5"/>
      <c r="K342" s="5"/>
      <c r="L342" s="4"/>
      <c r="M342" s="4" t="s">
        <v>60</v>
      </c>
      <c r="N342" s="4" t="s">
        <v>36</v>
      </c>
      <c r="O342" s="4" t="s">
        <v>53</v>
      </c>
      <c r="P342" s="4"/>
      <c r="Q342" s="4"/>
      <c r="R342" s="4" t="s">
        <v>1548</v>
      </c>
      <c r="S342" s="4"/>
      <c r="T342" s="4"/>
      <c r="U342" s="4" t="s">
        <v>56</v>
      </c>
      <c r="V342" s="6"/>
      <c r="W342" s="4" t="s">
        <v>57</v>
      </c>
    </row>
    <row r="343" customFormat="false" ht="15" hidden="false" customHeight="false" outlineLevel="0" collapsed="false">
      <c r="A343" s="4" t="s">
        <v>1549</v>
      </c>
      <c r="B343" s="4" t="s">
        <v>1550</v>
      </c>
      <c r="C343" s="4" t="s">
        <v>111</v>
      </c>
      <c r="D343" s="4" t="s">
        <v>1551</v>
      </c>
      <c r="E343" s="4"/>
      <c r="F343" s="4" t="s">
        <v>1552</v>
      </c>
      <c r="G343" s="4"/>
      <c r="H343" s="4" t="s">
        <v>35</v>
      </c>
      <c r="I343" s="4"/>
      <c r="J343" s="5"/>
      <c r="K343" s="5"/>
      <c r="L343" s="4"/>
      <c r="M343" s="4" t="s">
        <v>36</v>
      </c>
      <c r="N343" s="4" t="s">
        <v>36</v>
      </c>
      <c r="O343" s="4" t="s">
        <v>53</v>
      </c>
      <c r="P343" s="4"/>
      <c r="Q343" s="4" t="s">
        <v>1553</v>
      </c>
      <c r="R343" s="4" t="s">
        <v>1554</v>
      </c>
      <c r="S343" s="4"/>
      <c r="T343" s="4"/>
      <c r="U343" s="4" t="s">
        <v>56</v>
      </c>
      <c r="V343" s="6"/>
      <c r="W343" s="4" t="s">
        <v>57</v>
      </c>
    </row>
    <row r="344" customFormat="false" ht="15" hidden="false" customHeight="false" outlineLevel="0" collapsed="false">
      <c r="A344" s="4" t="s">
        <v>1555</v>
      </c>
      <c r="B344" s="4" t="s">
        <v>1556</v>
      </c>
      <c r="C344" s="4" t="s">
        <v>32</v>
      </c>
      <c r="D344" s="4" t="s">
        <v>1551</v>
      </c>
      <c r="E344" s="4"/>
      <c r="F344" s="4" t="s">
        <v>1552</v>
      </c>
      <c r="G344" s="4"/>
      <c r="H344" s="4" t="s">
        <v>35</v>
      </c>
      <c r="I344" s="4"/>
      <c r="J344" s="5"/>
      <c r="K344" s="5"/>
      <c r="L344" s="4"/>
      <c r="M344" s="4" t="s">
        <v>36</v>
      </c>
      <c r="N344" s="4" t="s">
        <v>36</v>
      </c>
      <c r="O344" s="4" t="s">
        <v>53</v>
      </c>
      <c r="P344" s="4"/>
      <c r="Q344" s="4" t="s">
        <v>1557</v>
      </c>
      <c r="R344" s="4" t="s">
        <v>1558</v>
      </c>
      <c r="S344" s="4"/>
      <c r="T344" s="4"/>
      <c r="U344" s="4" t="s">
        <v>56</v>
      </c>
      <c r="V344" s="6"/>
      <c r="W344" s="4" t="s">
        <v>57</v>
      </c>
    </row>
    <row r="345" customFormat="false" ht="15" hidden="false" customHeight="false" outlineLevel="0" collapsed="false">
      <c r="A345" s="4" t="s">
        <v>1559</v>
      </c>
      <c r="B345" s="4" t="s">
        <v>1560</v>
      </c>
      <c r="C345" s="4" t="s">
        <v>117</v>
      </c>
      <c r="D345" s="4" t="s">
        <v>1561</v>
      </c>
      <c r="E345" s="4"/>
      <c r="F345" s="4" t="s">
        <v>1552</v>
      </c>
      <c r="G345" s="4"/>
      <c r="H345" s="4" t="s">
        <v>35</v>
      </c>
      <c r="I345" s="4"/>
      <c r="J345" s="5"/>
      <c r="K345" s="5"/>
      <c r="L345" s="4"/>
      <c r="M345" s="4" t="s">
        <v>36</v>
      </c>
      <c r="N345" s="4" t="s">
        <v>36</v>
      </c>
      <c r="O345" s="4" t="s">
        <v>53</v>
      </c>
      <c r="P345" s="4"/>
      <c r="Q345" s="4" t="s">
        <v>1562</v>
      </c>
      <c r="R345" s="4" t="s">
        <v>1563</v>
      </c>
      <c r="S345" s="4"/>
      <c r="T345" s="4"/>
      <c r="U345" s="4" t="s">
        <v>56</v>
      </c>
      <c r="V345" s="6"/>
      <c r="W345" s="4" t="s">
        <v>57</v>
      </c>
    </row>
    <row r="346" customFormat="false" ht="15" hidden="false" customHeight="false" outlineLevel="0" collapsed="false">
      <c r="A346" s="4" t="s">
        <v>1564</v>
      </c>
      <c r="B346" s="4" t="s">
        <v>1565</v>
      </c>
      <c r="C346" s="4" t="s">
        <v>117</v>
      </c>
      <c r="D346" s="4" t="s">
        <v>1566</v>
      </c>
      <c r="E346" s="4"/>
      <c r="F346" s="4" t="s">
        <v>1552</v>
      </c>
      <c r="G346" s="4"/>
      <c r="H346" s="4" t="s">
        <v>35</v>
      </c>
      <c r="I346" s="4"/>
      <c r="J346" s="5"/>
      <c r="K346" s="5"/>
      <c r="L346" s="4"/>
      <c r="M346" s="4" t="s">
        <v>60</v>
      </c>
      <c r="N346" s="4" t="s">
        <v>36</v>
      </c>
      <c r="O346" s="4" t="s">
        <v>53</v>
      </c>
      <c r="P346" s="4"/>
      <c r="Q346" s="4"/>
      <c r="R346" s="4" t="s">
        <v>1567</v>
      </c>
      <c r="S346" s="4"/>
      <c r="T346" s="4"/>
      <c r="U346" s="4" t="s">
        <v>56</v>
      </c>
      <c r="V346" s="6"/>
      <c r="W346" s="4" t="s">
        <v>57</v>
      </c>
    </row>
    <row r="347" customFormat="false" ht="15" hidden="false" customHeight="false" outlineLevel="0" collapsed="false">
      <c r="A347" s="4" t="s">
        <v>1568</v>
      </c>
      <c r="B347" s="4" t="s">
        <v>1569</v>
      </c>
      <c r="C347" s="4" t="s">
        <v>117</v>
      </c>
      <c r="D347" s="4" t="s">
        <v>1570</v>
      </c>
      <c r="E347" s="4"/>
      <c r="F347" s="4" t="s">
        <v>1552</v>
      </c>
      <c r="G347" s="4"/>
      <c r="H347" s="4" t="s">
        <v>35</v>
      </c>
      <c r="I347" s="4"/>
      <c r="J347" s="5"/>
      <c r="K347" s="5"/>
      <c r="L347" s="4"/>
      <c r="M347" s="4" t="s">
        <v>60</v>
      </c>
      <c r="N347" s="4" t="s">
        <v>36</v>
      </c>
      <c r="O347" s="4" t="s">
        <v>53</v>
      </c>
      <c r="P347" s="4"/>
      <c r="Q347" s="4"/>
      <c r="R347" s="4" t="s">
        <v>1571</v>
      </c>
      <c r="S347" s="4"/>
      <c r="T347" s="4"/>
      <c r="U347" s="4" t="s">
        <v>56</v>
      </c>
      <c r="V347" s="6"/>
      <c r="W347" s="4" t="s">
        <v>57</v>
      </c>
    </row>
    <row r="348" customFormat="false" ht="15" hidden="false" customHeight="false" outlineLevel="0" collapsed="false">
      <c r="A348" s="4" t="s">
        <v>1572</v>
      </c>
      <c r="B348" s="4" t="s">
        <v>1573</v>
      </c>
      <c r="C348" s="4" t="s">
        <v>117</v>
      </c>
      <c r="D348" s="4" t="s">
        <v>1574</v>
      </c>
      <c r="E348" s="4"/>
      <c r="F348" s="4" t="s">
        <v>1552</v>
      </c>
      <c r="G348" s="4"/>
      <c r="H348" s="4" t="s">
        <v>35</v>
      </c>
      <c r="I348" s="4"/>
      <c r="J348" s="5"/>
      <c r="K348" s="5"/>
      <c r="L348" s="4"/>
      <c r="M348" s="4" t="s">
        <v>60</v>
      </c>
      <c r="N348" s="4" t="s">
        <v>36</v>
      </c>
      <c r="O348" s="4" t="s">
        <v>53</v>
      </c>
      <c r="P348" s="4"/>
      <c r="Q348" s="4"/>
      <c r="R348" s="4" t="s">
        <v>1575</v>
      </c>
      <c r="S348" s="4"/>
      <c r="T348" s="4"/>
      <c r="U348" s="4" t="s">
        <v>56</v>
      </c>
      <c r="V348" s="6"/>
      <c r="W348" s="4" t="s">
        <v>57</v>
      </c>
    </row>
    <row r="349" customFormat="false" ht="15" hidden="false" customHeight="false" outlineLevel="0" collapsed="false">
      <c r="A349" s="4" t="s">
        <v>1576</v>
      </c>
      <c r="B349" s="4" t="s">
        <v>1577</v>
      </c>
      <c r="C349" s="4" t="s">
        <v>117</v>
      </c>
      <c r="D349" s="4" t="s">
        <v>1578</v>
      </c>
      <c r="E349" s="4"/>
      <c r="F349" s="4" t="s">
        <v>1552</v>
      </c>
      <c r="G349" s="4"/>
      <c r="H349" s="4" t="s">
        <v>35</v>
      </c>
      <c r="I349" s="4"/>
      <c r="J349" s="5"/>
      <c r="K349" s="5"/>
      <c r="L349" s="4"/>
      <c r="M349" s="4" t="s">
        <v>60</v>
      </c>
      <c r="N349" s="4" t="s">
        <v>36</v>
      </c>
      <c r="O349" s="4" t="s">
        <v>53</v>
      </c>
      <c r="P349" s="4"/>
      <c r="Q349" s="4"/>
      <c r="R349" s="4" t="s">
        <v>1579</v>
      </c>
      <c r="S349" s="4"/>
      <c r="T349" s="4"/>
      <c r="U349" s="4" t="s">
        <v>56</v>
      </c>
      <c r="V349" s="6"/>
      <c r="W349" s="4" t="s">
        <v>57</v>
      </c>
    </row>
    <row r="350" customFormat="false" ht="15" hidden="false" customHeight="false" outlineLevel="0" collapsed="false">
      <c r="A350" s="4" t="s">
        <v>1580</v>
      </c>
      <c r="B350" s="4" t="s">
        <v>1581</v>
      </c>
      <c r="C350" s="4" t="s">
        <v>117</v>
      </c>
      <c r="D350" s="4" t="s">
        <v>1582</v>
      </c>
      <c r="E350" s="4"/>
      <c r="F350" s="4" t="s">
        <v>1552</v>
      </c>
      <c r="G350" s="4"/>
      <c r="H350" s="4" t="s">
        <v>35</v>
      </c>
      <c r="I350" s="4"/>
      <c r="J350" s="5"/>
      <c r="K350" s="5"/>
      <c r="L350" s="4"/>
      <c r="M350" s="4" t="s">
        <v>60</v>
      </c>
      <c r="N350" s="4" t="s">
        <v>36</v>
      </c>
      <c r="O350" s="4" t="s">
        <v>53</v>
      </c>
      <c r="P350" s="4"/>
      <c r="Q350" s="4"/>
      <c r="R350" s="4" t="s">
        <v>1583</v>
      </c>
      <c r="S350" s="4"/>
      <c r="T350" s="4"/>
      <c r="U350" s="4" t="s">
        <v>56</v>
      </c>
      <c r="V350" s="6"/>
      <c r="W350" s="4" t="s">
        <v>57</v>
      </c>
    </row>
    <row r="351" customFormat="false" ht="15" hidden="false" customHeight="false" outlineLevel="0" collapsed="false">
      <c r="A351" s="4" t="s">
        <v>1584</v>
      </c>
      <c r="B351" s="4" t="s">
        <v>1585</v>
      </c>
      <c r="C351" s="4" t="s">
        <v>117</v>
      </c>
      <c r="D351" s="4" t="s">
        <v>1586</v>
      </c>
      <c r="E351" s="4"/>
      <c r="F351" s="4" t="s">
        <v>1552</v>
      </c>
      <c r="G351" s="4"/>
      <c r="H351" s="4" t="s">
        <v>35</v>
      </c>
      <c r="I351" s="4"/>
      <c r="J351" s="5"/>
      <c r="K351" s="5"/>
      <c r="L351" s="4"/>
      <c r="M351" s="4" t="s">
        <v>60</v>
      </c>
      <c r="N351" s="4" t="s">
        <v>36</v>
      </c>
      <c r="O351" s="4" t="s">
        <v>53</v>
      </c>
      <c r="P351" s="4"/>
      <c r="Q351" s="4"/>
      <c r="R351" s="4" t="s">
        <v>1587</v>
      </c>
      <c r="S351" s="4"/>
      <c r="T351" s="4"/>
      <c r="U351" s="4" t="s">
        <v>56</v>
      </c>
      <c r="V351" s="6"/>
      <c r="W351" s="4" t="s">
        <v>57</v>
      </c>
    </row>
    <row r="352" customFormat="false" ht="15" hidden="false" customHeight="false" outlineLevel="0" collapsed="false">
      <c r="A352" s="4" t="s">
        <v>1588</v>
      </c>
      <c r="B352" s="4" t="s">
        <v>1589</v>
      </c>
      <c r="C352" s="4" t="s">
        <v>117</v>
      </c>
      <c r="D352" s="4" t="s">
        <v>1590</v>
      </c>
      <c r="E352" s="4"/>
      <c r="F352" s="4" t="s">
        <v>1552</v>
      </c>
      <c r="G352" s="4"/>
      <c r="H352" s="4" t="s">
        <v>35</v>
      </c>
      <c r="I352" s="4"/>
      <c r="J352" s="5"/>
      <c r="K352" s="5"/>
      <c r="L352" s="4"/>
      <c r="M352" s="4" t="s">
        <v>60</v>
      </c>
      <c r="N352" s="4" t="s">
        <v>36</v>
      </c>
      <c r="O352" s="4" t="s">
        <v>53</v>
      </c>
      <c r="P352" s="4"/>
      <c r="Q352" s="4"/>
      <c r="R352" s="4" t="s">
        <v>1591</v>
      </c>
      <c r="S352" s="4"/>
      <c r="T352" s="4"/>
      <c r="U352" s="4" t="s">
        <v>56</v>
      </c>
      <c r="V352" s="6"/>
      <c r="W352" s="4" t="s">
        <v>57</v>
      </c>
    </row>
    <row r="353" customFormat="false" ht="15" hidden="false" customHeight="false" outlineLevel="0" collapsed="false">
      <c r="A353" s="4" t="s">
        <v>1592</v>
      </c>
      <c r="B353" s="4" t="s">
        <v>1593</v>
      </c>
      <c r="C353" s="4" t="s">
        <v>117</v>
      </c>
      <c r="D353" s="4" t="s">
        <v>1594</v>
      </c>
      <c r="E353" s="4"/>
      <c r="F353" s="4" t="s">
        <v>1595</v>
      </c>
      <c r="G353" s="4"/>
      <c r="H353" s="4" t="s">
        <v>35</v>
      </c>
      <c r="I353" s="4"/>
      <c r="J353" s="5"/>
      <c r="K353" s="5"/>
      <c r="L353" s="4"/>
      <c r="M353" s="4" t="s">
        <v>36</v>
      </c>
      <c r="N353" s="4" t="s">
        <v>36</v>
      </c>
      <c r="O353" s="4" t="s">
        <v>53</v>
      </c>
      <c r="P353" s="4"/>
      <c r="Q353" s="4" t="s">
        <v>1596</v>
      </c>
      <c r="R353" s="4" t="s">
        <v>1597</v>
      </c>
      <c r="S353" s="4"/>
      <c r="T353" s="4"/>
      <c r="U353" s="4" t="s">
        <v>56</v>
      </c>
      <c r="V353" s="6"/>
      <c r="W353" s="4" t="s">
        <v>57</v>
      </c>
    </row>
    <row r="354" customFormat="false" ht="15" hidden="false" customHeight="false" outlineLevel="0" collapsed="false">
      <c r="A354" s="4" t="s">
        <v>1598</v>
      </c>
      <c r="B354" s="4" t="s">
        <v>1599</v>
      </c>
      <c r="C354" s="4" t="s">
        <v>117</v>
      </c>
      <c r="D354" s="4" t="s">
        <v>1594</v>
      </c>
      <c r="E354" s="4"/>
      <c r="F354" s="4" t="s">
        <v>1595</v>
      </c>
      <c r="G354" s="4"/>
      <c r="H354" s="4" t="s">
        <v>35</v>
      </c>
      <c r="I354" s="4"/>
      <c r="J354" s="5"/>
      <c r="K354" s="5"/>
      <c r="L354" s="4"/>
      <c r="M354" s="4" t="s">
        <v>60</v>
      </c>
      <c r="N354" s="4" t="s">
        <v>36</v>
      </c>
      <c r="O354" s="4" t="s">
        <v>53</v>
      </c>
      <c r="P354" s="4"/>
      <c r="Q354" s="4" t="s">
        <v>1600</v>
      </c>
      <c r="R354" s="4" t="s">
        <v>1601</v>
      </c>
      <c r="S354" s="4"/>
      <c r="T354" s="4"/>
      <c r="U354" s="4" t="s">
        <v>56</v>
      </c>
      <c r="V354" s="6"/>
      <c r="W354" s="4" t="s">
        <v>57</v>
      </c>
    </row>
    <row r="355" customFormat="false" ht="15" hidden="false" customHeight="false" outlineLevel="0" collapsed="false">
      <c r="A355" s="4" t="s">
        <v>1602</v>
      </c>
      <c r="B355" s="4" t="s">
        <v>1603</v>
      </c>
      <c r="C355" s="4" t="s">
        <v>117</v>
      </c>
      <c r="D355" s="4" t="s">
        <v>1368</v>
      </c>
      <c r="E355" s="4"/>
      <c r="F355" s="4" t="s">
        <v>1595</v>
      </c>
      <c r="G355" s="4"/>
      <c r="H355" s="4" t="s">
        <v>35</v>
      </c>
      <c r="I355" s="4"/>
      <c r="J355" s="5"/>
      <c r="K355" s="5"/>
      <c r="L355" s="4"/>
      <c r="M355" s="4" t="s">
        <v>60</v>
      </c>
      <c r="N355" s="4" t="s">
        <v>36</v>
      </c>
      <c r="O355" s="4" t="s">
        <v>53</v>
      </c>
      <c r="P355" s="4"/>
      <c r="Q355" s="4"/>
      <c r="R355" s="4" t="s">
        <v>1604</v>
      </c>
      <c r="S355" s="4"/>
      <c r="T355" s="4"/>
      <c r="U355" s="4" t="s">
        <v>56</v>
      </c>
      <c r="V355" s="6"/>
      <c r="W355" s="4" t="s">
        <v>57</v>
      </c>
    </row>
    <row r="356" customFormat="false" ht="15" hidden="false" customHeight="false" outlineLevel="0" collapsed="false">
      <c r="A356" s="4" t="s">
        <v>1605</v>
      </c>
      <c r="B356" s="4" t="s">
        <v>1606</v>
      </c>
      <c r="C356" s="4" t="s">
        <v>117</v>
      </c>
      <c r="D356" s="4" t="s">
        <v>1607</v>
      </c>
      <c r="E356" s="4"/>
      <c r="F356" s="4" t="s">
        <v>1595</v>
      </c>
      <c r="G356" s="4"/>
      <c r="H356" s="4" t="s">
        <v>35</v>
      </c>
      <c r="I356" s="4"/>
      <c r="J356" s="5"/>
      <c r="K356" s="5"/>
      <c r="L356" s="4"/>
      <c r="M356" s="4" t="s">
        <v>60</v>
      </c>
      <c r="N356" s="4" t="s">
        <v>36</v>
      </c>
      <c r="O356" s="4" t="s">
        <v>53</v>
      </c>
      <c r="P356" s="4"/>
      <c r="Q356" s="4"/>
      <c r="R356" s="4" t="s">
        <v>1608</v>
      </c>
      <c r="S356" s="4"/>
      <c r="T356" s="4"/>
      <c r="U356" s="4" t="s">
        <v>56</v>
      </c>
      <c r="V356" s="6"/>
      <c r="W356" s="4" t="s">
        <v>57</v>
      </c>
    </row>
    <row r="357" customFormat="false" ht="15" hidden="false" customHeight="false" outlineLevel="0" collapsed="false">
      <c r="A357" s="4" t="s">
        <v>1609</v>
      </c>
      <c r="B357" s="4" t="s">
        <v>1610</v>
      </c>
      <c r="C357" s="4" t="s">
        <v>117</v>
      </c>
      <c r="D357" s="4" t="s">
        <v>1611</v>
      </c>
      <c r="E357" s="4"/>
      <c r="F357" s="4" t="s">
        <v>1595</v>
      </c>
      <c r="G357" s="4"/>
      <c r="H357" s="4" t="s">
        <v>35</v>
      </c>
      <c r="I357" s="4"/>
      <c r="J357" s="5"/>
      <c r="K357" s="5"/>
      <c r="L357" s="4"/>
      <c r="M357" s="4" t="s">
        <v>60</v>
      </c>
      <c r="N357" s="4" t="s">
        <v>36</v>
      </c>
      <c r="O357" s="4" t="s">
        <v>53</v>
      </c>
      <c r="P357" s="4"/>
      <c r="Q357" s="4"/>
      <c r="R357" s="4" t="s">
        <v>1612</v>
      </c>
      <c r="S357" s="4"/>
      <c r="T357" s="4"/>
      <c r="U357" s="4" t="s">
        <v>56</v>
      </c>
      <c r="V357" s="6"/>
      <c r="W357" s="4" t="s">
        <v>57</v>
      </c>
    </row>
    <row r="358" customFormat="false" ht="15" hidden="false" customHeight="false" outlineLevel="0" collapsed="false">
      <c r="A358" s="4" t="s">
        <v>1613</v>
      </c>
      <c r="B358" s="4" t="s">
        <v>1614</v>
      </c>
      <c r="C358" s="4" t="s">
        <v>117</v>
      </c>
      <c r="D358" s="4" t="s">
        <v>1615</v>
      </c>
      <c r="E358" s="4"/>
      <c r="F358" s="4" t="s">
        <v>1595</v>
      </c>
      <c r="G358" s="4"/>
      <c r="H358" s="4" t="s">
        <v>35</v>
      </c>
      <c r="I358" s="4"/>
      <c r="J358" s="5"/>
      <c r="K358" s="5"/>
      <c r="L358" s="4"/>
      <c r="M358" s="4" t="s">
        <v>60</v>
      </c>
      <c r="N358" s="4" t="s">
        <v>36</v>
      </c>
      <c r="O358" s="4" t="s">
        <v>53</v>
      </c>
      <c r="P358" s="4"/>
      <c r="Q358" s="4"/>
      <c r="R358" s="4" t="s">
        <v>1616</v>
      </c>
      <c r="S358" s="4"/>
      <c r="T358" s="4"/>
      <c r="U358" s="4" t="s">
        <v>56</v>
      </c>
      <c r="V358" s="6"/>
      <c r="W358" s="4" t="s">
        <v>57</v>
      </c>
    </row>
    <row r="359" customFormat="false" ht="15" hidden="false" customHeight="false" outlineLevel="0" collapsed="false">
      <c r="A359" s="4" t="s">
        <v>1617</v>
      </c>
      <c r="B359" s="4" t="s">
        <v>1618</v>
      </c>
      <c r="C359" s="4" t="s">
        <v>117</v>
      </c>
      <c r="D359" s="4" t="s">
        <v>1619</v>
      </c>
      <c r="E359" s="4"/>
      <c r="F359" s="4" t="s">
        <v>1595</v>
      </c>
      <c r="G359" s="4"/>
      <c r="H359" s="4" t="s">
        <v>35</v>
      </c>
      <c r="I359" s="4"/>
      <c r="J359" s="5"/>
      <c r="K359" s="5"/>
      <c r="L359" s="4"/>
      <c r="M359" s="4" t="s">
        <v>60</v>
      </c>
      <c r="N359" s="4" t="s">
        <v>36</v>
      </c>
      <c r="O359" s="4" t="s">
        <v>53</v>
      </c>
      <c r="P359" s="4"/>
      <c r="Q359" s="4"/>
      <c r="R359" s="4" t="s">
        <v>1620</v>
      </c>
      <c r="S359" s="4"/>
      <c r="T359" s="4"/>
      <c r="U359" s="4" t="s">
        <v>56</v>
      </c>
      <c r="V359" s="6"/>
      <c r="W359" s="4" t="s">
        <v>57</v>
      </c>
    </row>
    <row r="360" customFormat="false" ht="15" hidden="false" customHeight="false" outlineLevel="0" collapsed="false">
      <c r="A360" s="4" t="s">
        <v>1621</v>
      </c>
      <c r="B360" s="4" t="s">
        <v>1622</v>
      </c>
      <c r="C360" s="4" t="s">
        <v>32</v>
      </c>
      <c r="D360" s="4" t="s">
        <v>1623</v>
      </c>
      <c r="E360" s="4"/>
      <c r="F360" s="4" t="s">
        <v>1624</v>
      </c>
      <c r="G360" s="4"/>
      <c r="H360" s="4" t="s">
        <v>35</v>
      </c>
      <c r="I360" s="4"/>
      <c r="J360" s="5"/>
      <c r="K360" s="5"/>
      <c r="L360" s="4"/>
      <c r="M360" s="4" t="s">
        <v>36</v>
      </c>
      <c r="N360" s="4" t="s">
        <v>36</v>
      </c>
      <c r="O360" s="4" t="s">
        <v>53</v>
      </c>
      <c r="P360" s="4"/>
      <c r="Q360" s="4" t="s">
        <v>1625</v>
      </c>
      <c r="R360" s="4" t="s">
        <v>1626</v>
      </c>
      <c r="S360" s="4"/>
      <c r="T360" s="4"/>
      <c r="U360" s="4" t="s">
        <v>56</v>
      </c>
      <c r="V360" s="6"/>
      <c r="W360" s="4" t="s">
        <v>57</v>
      </c>
    </row>
    <row r="361" customFormat="false" ht="15" hidden="false" customHeight="false" outlineLevel="0" collapsed="false">
      <c r="A361" s="4" t="s">
        <v>1627</v>
      </c>
      <c r="B361" s="4" t="s">
        <v>1628</v>
      </c>
      <c r="C361" s="4" t="s">
        <v>32</v>
      </c>
      <c r="D361" s="4" t="s">
        <v>1623</v>
      </c>
      <c r="E361" s="4"/>
      <c r="F361" s="4" t="s">
        <v>1624</v>
      </c>
      <c r="G361" s="4"/>
      <c r="H361" s="4" t="s">
        <v>35</v>
      </c>
      <c r="I361" s="4"/>
      <c r="J361" s="5"/>
      <c r="K361" s="5"/>
      <c r="L361" s="4"/>
      <c r="M361" s="4" t="s">
        <v>60</v>
      </c>
      <c r="N361" s="4" t="s">
        <v>36</v>
      </c>
      <c r="O361" s="4" t="s">
        <v>53</v>
      </c>
      <c r="P361" s="4"/>
      <c r="Q361" s="4" t="s">
        <v>1629</v>
      </c>
      <c r="R361" s="4" t="s">
        <v>1630</v>
      </c>
      <c r="S361" s="4"/>
      <c r="T361" s="4"/>
      <c r="U361" s="4" t="s">
        <v>56</v>
      </c>
      <c r="V361" s="6"/>
      <c r="W361" s="4" t="s">
        <v>57</v>
      </c>
    </row>
    <row r="362" customFormat="false" ht="15" hidden="false" customHeight="false" outlineLevel="0" collapsed="false">
      <c r="A362" s="4" t="s">
        <v>1631</v>
      </c>
      <c r="B362" s="4" t="s">
        <v>1632</v>
      </c>
      <c r="C362" s="4" t="s">
        <v>32</v>
      </c>
      <c r="D362" s="4" t="s">
        <v>1623</v>
      </c>
      <c r="E362" s="4"/>
      <c r="F362" s="4" t="s">
        <v>1624</v>
      </c>
      <c r="G362" s="4"/>
      <c r="H362" s="4" t="s">
        <v>35</v>
      </c>
      <c r="I362" s="4"/>
      <c r="J362" s="5"/>
      <c r="K362" s="5"/>
      <c r="L362" s="4"/>
      <c r="M362" s="4" t="s">
        <v>60</v>
      </c>
      <c r="N362" s="4" t="s">
        <v>36</v>
      </c>
      <c r="O362" s="4" t="s">
        <v>53</v>
      </c>
      <c r="P362" s="4"/>
      <c r="Q362" s="4" t="s">
        <v>1633</v>
      </c>
      <c r="R362" s="4" t="s">
        <v>1634</v>
      </c>
      <c r="S362" s="4"/>
      <c r="T362" s="4"/>
      <c r="U362" s="4" t="s">
        <v>56</v>
      </c>
      <c r="V362" s="6"/>
      <c r="W362" s="4" t="s">
        <v>57</v>
      </c>
    </row>
    <row r="363" customFormat="false" ht="15" hidden="false" customHeight="false" outlineLevel="0" collapsed="false">
      <c r="A363" s="4" t="s">
        <v>1635</v>
      </c>
      <c r="B363" s="4" t="s">
        <v>1636</v>
      </c>
      <c r="C363" s="4" t="s">
        <v>32</v>
      </c>
      <c r="D363" s="4" t="s">
        <v>1623</v>
      </c>
      <c r="E363" s="4"/>
      <c r="F363" s="4" t="s">
        <v>1624</v>
      </c>
      <c r="G363" s="4"/>
      <c r="H363" s="4" t="s">
        <v>35</v>
      </c>
      <c r="I363" s="4"/>
      <c r="J363" s="5"/>
      <c r="K363" s="5"/>
      <c r="L363" s="4"/>
      <c r="M363" s="4" t="s">
        <v>60</v>
      </c>
      <c r="N363" s="4" t="s">
        <v>36</v>
      </c>
      <c r="O363" s="4" t="s">
        <v>53</v>
      </c>
      <c r="P363" s="4"/>
      <c r="Q363" s="4" t="s">
        <v>1637</v>
      </c>
      <c r="R363" s="4" t="s">
        <v>1638</v>
      </c>
      <c r="S363" s="4"/>
      <c r="T363" s="4"/>
      <c r="U363" s="4" t="s">
        <v>56</v>
      </c>
      <c r="V363" s="6"/>
      <c r="W363" s="4" t="s">
        <v>57</v>
      </c>
    </row>
    <row r="364" customFormat="false" ht="15" hidden="false" customHeight="false" outlineLevel="0" collapsed="false">
      <c r="A364" s="4" t="s">
        <v>1639</v>
      </c>
      <c r="B364" s="4" t="s">
        <v>1640</v>
      </c>
      <c r="C364" s="4" t="s">
        <v>32</v>
      </c>
      <c r="D364" s="4" t="s">
        <v>1641</v>
      </c>
      <c r="E364" s="4"/>
      <c r="F364" s="4" t="s">
        <v>1624</v>
      </c>
      <c r="G364" s="4"/>
      <c r="H364" s="4" t="s">
        <v>35</v>
      </c>
      <c r="I364" s="4"/>
      <c r="J364" s="5"/>
      <c r="K364" s="5"/>
      <c r="L364" s="4"/>
      <c r="M364" s="4" t="s">
        <v>36</v>
      </c>
      <c r="N364" s="4" t="s">
        <v>36</v>
      </c>
      <c r="O364" s="4" t="s">
        <v>53</v>
      </c>
      <c r="P364" s="4"/>
      <c r="Q364" s="4" t="s">
        <v>1642</v>
      </c>
      <c r="R364" s="4" t="s">
        <v>1643</v>
      </c>
      <c r="S364" s="4"/>
      <c r="T364" s="4"/>
      <c r="U364" s="4" t="s">
        <v>56</v>
      </c>
      <c r="V364" s="6"/>
      <c r="W364" s="4" t="s">
        <v>57</v>
      </c>
    </row>
    <row r="365" customFormat="false" ht="15" hidden="false" customHeight="false" outlineLevel="0" collapsed="false">
      <c r="A365" s="4" t="s">
        <v>1644</v>
      </c>
      <c r="B365" s="4" t="s">
        <v>1645</v>
      </c>
      <c r="C365" s="4" t="s">
        <v>117</v>
      </c>
      <c r="D365" s="4" t="s">
        <v>1641</v>
      </c>
      <c r="E365" s="4"/>
      <c r="F365" s="4" t="s">
        <v>1624</v>
      </c>
      <c r="G365" s="4"/>
      <c r="H365" s="4" t="s">
        <v>35</v>
      </c>
      <c r="I365" s="4"/>
      <c r="J365" s="5"/>
      <c r="K365" s="5"/>
      <c r="L365" s="4"/>
      <c r="M365" s="4" t="s">
        <v>60</v>
      </c>
      <c r="N365" s="4" t="s">
        <v>36</v>
      </c>
      <c r="O365" s="4" t="s">
        <v>53</v>
      </c>
      <c r="P365" s="4"/>
      <c r="Q365" s="4"/>
      <c r="R365" s="4" t="s">
        <v>1646</v>
      </c>
      <c r="S365" s="4"/>
      <c r="T365" s="4"/>
      <c r="U365" s="4" t="s">
        <v>56</v>
      </c>
      <c r="V365" s="6"/>
      <c r="W365" s="4" t="s">
        <v>57</v>
      </c>
    </row>
    <row r="366" customFormat="false" ht="15" hidden="false" customHeight="false" outlineLevel="0" collapsed="false">
      <c r="A366" s="4" t="s">
        <v>1647</v>
      </c>
      <c r="B366" s="4" t="s">
        <v>1648</v>
      </c>
      <c r="C366" s="4" t="s">
        <v>32</v>
      </c>
      <c r="D366" s="4" t="s">
        <v>1649</v>
      </c>
      <c r="E366" s="4"/>
      <c r="F366" s="4" t="s">
        <v>1624</v>
      </c>
      <c r="G366" s="4"/>
      <c r="H366" s="4" t="s">
        <v>35</v>
      </c>
      <c r="I366" s="4"/>
      <c r="J366" s="5"/>
      <c r="K366" s="5"/>
      <c r="L366" s="4"/>
      <c r="M366" s="4" t="s">
        <v>36</v>
      </c>
      <c r="N366" s="4" t="s">
        <v>36</v>
      </c>
      <c r="O366" s="4" t="s">
        <v>53</v>
      </c>
      <c r="P366" s="4"/>
      <c r="Q366" s="4" t="s">
        <v>1650</v>
      </c>
      <c r="R366" s="4" t="s">
        <v>1651</v>
      </c>
      <c r="S366" s="4"/>
      <c r="T366" s="4"/>
      <c r="U366" s="4" t="s">
        <v>56</v>
      </c>
      <c r="V366" s="6"/>
      <c r="W366" s="4" t="s">
        <v>57</v>
      </c>
    </row>
    <row r="367" customFormat="false" ht="15" hidden="false" customHeight="false" outlineLevel="0" collapsed="false">
      <c r="A367" s="4" t="s">
        <v>1652</v>
      </c>
      <c r="B367" s="4" t="s">
        <v>1653</v>
      </c>
      <c r="C367" s="4" t="s">
        <v>320</v>
      </c>
      <c r="D367" s="4" t="s">
        <v>1654</v>
      </c>
      <c r="E367" s="4"/>
      <c r="F367" s="4" t="s">
        <v>1624</v>
      </c>
      <c r="G367" s="4"/>
      <c r="H367" s="4" t="s">
        <v>35</v>
      </c>
      <c r="I367" s="4"/>
      <c r="J367" s="5"/>
      <c r="K367" s="5"/>
      <c r="L367" s="4"/>
      <c r="M367" s="4" t="s">
        <v>36</v>
      </c>
      <c r="N367" s="4" t="s">
        <v>36</v>
      </c>
      <c r="O367" s="4" t="s">
        <v>53</v>
      </c>
      <c r="P367" s="4"/>
      <c r="Q367" s="4" t="s">
        <v>1655</v>
      </c>
      <c r="R367" s="4" t="s">
        <v>1656</v>
      </c>
      <c r="S367" s="4"/>
      <c r="T367" s="4"/>
      <c r="U367" s="4" t="s">
        <v>56</v>
      </c>
      <c r="V367" s="6"/>
      <c r="W367" s="4" t="s">
        <v>57</v>
      </c>
    </row>
    <row r="368" customFormat="false" ht="15" hidden="false" customHeight="false" outlineLevel="0" collapsed="false">
      <c r="A368" s="4" t="s">
        <v>1657</v>
      </c>
      <c r="B368" s="4" t="s">
        <v>1658</v>
      </c>
      <c r="C368" s="4" t="s">
        <v>32</v>
      </c>
      <c r="D368" s="4" t="s">
        <v>1659</v>
      </c>
      <c r="E368" s="4"/>
      <c r="F368" s="4" t="s">
        <v>1624</v>
      </c>
      <c r="G368" s="4"/>
      <c r="H368" s="4" t="s">
        <v>35</v>
      </c>
      <c r="I368" s="4"/>
      <c r="J368" s="5"/>
      <c r="K368" s="5"/>
      <c r="L368" s="4"/>
      <c r="M368" s="4" t="s">
        <v>36</v>
      </c>
      <c r="N368" s="4" t="s">
        <v>36</v>
      </c>
      <c r="O368" s="4" t="s">
        <v>53</v>
      </c>
      <c r="P368" s="4"/>
      <c r="Q368" s="4" t="s">
        <v>1660</v>
      </c>
      <c r="R368" s="4" t="s">
        <v>1661</v>
      </c>
      <c r="S368" s="4"/>
      <c r="T368" s="4"/>
      <c r="U368" s="4" t="s">
        <v>56</v>
      </c>
      <c r="V368" s="6"/>
      <c r="W368" s="4" t="s">
        <v>57</v>
      </c>
    </row>
    <row r="369" customFormat="false" ht="15" hidden="false" customHeight="false" outlineLevel="0" collapsed="false">
      <c r="A369" s="4" t="s">
        <v>1662</v>
      </c>
      <c r="B369" s="4" t="s">
        <v>1663</v>
      </c>
      <c r="C369" s="4" t="s">
        <v>117</v>
      </c>
      <c r="D369" s="4" t="s">
        <v>1664</v>
      </c>
      <c r="E369" s="4"/>
      <c r="F369" s="4" t="s">
        <v>1624</v>
      </c>
      <c r="G369" s="4"/>
      <c r="H369" s="4" t="s">
        <v>35</v>
      </c>
      <c r="I369" s="4"/>
      <c r="J369" s="5"/>
      <c r="K369" s="5"/>
      <c r="L369" s="4"/>
      <c r="M369" s="4" t="s">
        <v>60</v>
      </c>
      <c r="N369" s="4" t="s">
        <v>36</v>
      </c>
      <c r="O369" s="4" t="s">
        <v>53</v>
      </c>
      <c r="P369" s="4"/>
      <c r="Q369" s="4" t="s">
        <v>1665</v>
      </c>
      <c r="R369" s="4" t="s">
        <v>1666</v>
      </c>
      <c r="S369" s="4"/>
      <c r="T369" s="4"/>
      <c r="U369" s="4" t="s">
        <v>56</v>
      </c>
      <c r="V369" s="6"/>
      <c r="W369" s="4" t="s">
        <v>57</v>
      </c>
    </row>
    <row r="370" customFormat="false" ht="15" hidden="false" customHeight="false" outlineLevel="0" collapsed="false">
      <c r="A370" s="4" t="s">
        <v>1667</v>
      </c>
      <c r="B370" s="4" t="s">
        <v>1668</v>
      </c>
      <c r="C370" s="4" t="s">
        <v>32</v>
      </c>
      <c r="D370" s="4" t="s">
        <v>1669</v>
      </c>
      <c r="E370" s="4"/>
      <c r="F370" s="4" t="s">
        <v>1624</v>
      </c>
      <c r="G370" s="4"/>
      <c r="H370" s="4" t="s">
        <v>35</v>
      </c>
      <c r="I370" s="4"/>
      <c r="J370" s="5"/>
      <c r="K370" s="5"/>
      <c r="L370" s="4"/>
      <c r="M370" s="4" t="s">
        <v>60</v>
      </c>
      <c r="N370" s="4" t="s">
        <v>36</v>
      </c>
      <c r="O370" s="4" t="s">
        <v>53</v>
      </c>
      <c r="P370" s="4"/>
      <c r="Q370" s="4" t="s">
        <v>1670</v>
      </c>
      <c r="R370" s="4" t="s">
        <v>1671</v>
      </c>
      <c r="S370" s="4"/>
      <c r="T370" s="4"/>
      <c r="U370" s="4" t="s">
        <v>56</v>
      </c>
      <c r="V370" s="6"/>
      <c r="W370" s="4" t="s">
        <v>57</v>
      </c>
    </row>
    <row r="371" customFormat="false" ht="15" hidden="false" customHeight="false" outlineLevel="0" collapsed="false">
      <c r="A371" s="4" t="s">
        <v>1672</v>
      </c>
      <c r="B371" s="4" t="s">
        <v>1673</v>
      </c>
      <c r="C371" s="4" t="s">
        <v>117</v>
      </c>
      <c r="D371" s="4" t="s">
        <v>1674</v>
      </c>
      <c r="E371" s="4"/>
      <c r="F371" s="4" t="s">
        <v>1624</v>
      </c>
      <c r="G371" s="4"/>
      <c r="H371" s="4" t="s">
        <v>35</v>
      </c>
      <c r="I371" s="4"/>
      <c r="J371" s="5"/>
      <c r="K371" s="5"/>
      <c r="L371" s="4"/>
      <c r="M371" s="4" t="s">
        <v>60</v>
      </c>
      <c r="N371" s="4" t="s">
        <v>36</v>
      </c>
      <c r="O371" s="4" t="s">
        <v>53</v>
      </c>
      <c r="P371" s="4"/>
      <c r="Q371" s="4" t="s">
        <v>1675</v>
      </c>
      <c r="R371" s="4" t="s">
        <v>1676</v>
      </c>
      <c r="S371" s="4"/>
      <c r="T371" s="4"/>
      <c r="U371" s="4" t="s">
        <v>56</v>
      </c>
      <c r="V371" s="6"/>
      <c r="W371" s="4" t="s">
        <v>57</v>
      </c>
    </row>
    <row r="372" customFormat="false" ht="15" hidden="false" customHeight="false" outlineLevel="0" collapsed="false">
      <c r="A372" s="4" t="s">
        <v>1677</v>
      </c>
      <c r="B372" s="4" t="s">
        <v>1678</v>
      </c>
      <c r="C372" s="4" t="s">
        <v>32</v>
      </c>
      <c r="D372" s="4" t="s">
        <v>1679</v>
      </c>
      <c r="E372" s="4"/>
      <c r="F372" s="4" t="s">
        <v>1624</v>
      </c>
      <c r="G372" s="4"/>
      <c r="H372" s="4" t="s">
        <v>35</v>
      </c>
      <c r="I372" s="4"/>
      <c r="J372" s="5"/>
      <c r="K372" s="5"/>
      <c r="L372" s="4"/>
      <c r="M372" s="4" t="s">
        <v>36</v>
      </c>
      <c r="N372" s="4" t="s">
        <v>36</v>
      </c>
      <c r="O372" s="4" t="s">
        <v>53</v>
      </c>
      <c r="P372" s="4"/>
      <c r="Q372" s="4"/>
      <c r="R372" s="4" t="s">
        <v>1680</v>
      </c>
      <c r="S372" s="4"/>
      <c r="T372" s="4"/>
      <c r="U372" s="4" t="s">
        <v>56</v>
      </c>
      <c r="V372" s="6"/>
      <c r="W372" s="4" t="s">
        <v>57</v>
      </c>
    </row>
    <row r="373" customFormat="false" ht="15" hidden="false" customHeight="false" outlineLevel="0" collapsed="false">
      <c r="A373" s="4" t="s">
        <v>1681</v>
      </c>
      <c r="B373" s="4" t="s">
        <v>1682</v>
      </c>
      <c r="C373" s="4" t="s">
        <v>117</v>
      </c>
      <c r="D373" s="4" t="s">
        <v>1683</v>
      </c>
      <c r="E373" s="4"/>
      <c r="F373" s="4" t="s">
        <v>1624</v>
      </c>
      <c r="G373" s="4"/>
      <c r="H373" s="4" t="s">
        <v>35</v>
      </c>
      <c r="I373" s="4"/>
      <c r="J373" s="5"/>
      <c r="K373" s="5"/>
      <c r="L373" s="4"/>
      <c r="M373" s="4" t="s">
        <v>60</v>
      </c>
      <c r="N373" s="4" t="s">
        <v>36</v>
      </c>
      <c r="O373" s="4" t="s">
        <v>53</v>
      </c>
      <c r="P373" s="4"/>
      <c r="Q373" s="4"/>
      <c r="R373" s="4" t="s">
        <v>1684</v>
      </c>
      <c r="S373" s="4"/>
      <c r="T373" s="4"/>
      <c r="U373" s="4" t="s">
        <v>56</v>
      </c>
      <c r="V373" s="6"/>
      <c r="W373" s="4" t="s">
        <v>57</v>
      </c>
    </row>
    <row r="374" customFormat="false" ht="15" hidden="false" customHeight="false" outlineLevel="0" collapsed="false">
      <c r="A374" s="4" t="s">
        <v>1685</v>
      </c>
      <c r="B374" s="4" t="s">
        <v>1686</v>
      </c>
      <c r="C374" s="4" t="s">
        <v>117</v>
      </c>
      <c r="D374" s="4" t="s">
        <v>1687</v>
      </c>
      <c r="E374" s="4"/>
      <c r="F374" s="4" t="s">
        <v>1624</v>
      </c>
      <c r="G374" s="4"/>
      <c r="H374" s="4" t="s">
        <v>35</v>
      </c>
      <c r="I374" s="4"/>
      <c r="J374" s="5"/>
      <c r="K374" s="5"/>
      <c r="L374" s="4"/>
      <c r="M374" s="4" t="s">
        <v>60</v>
      </c>
      <c r="N374" s="4" t="s">
        <v>36</v>
      </c>
      <c r="O374" s="4" t="s">
        <v>53</v>
      </c>
      <c r="P374" s="4"/>
      <c r="Q374" s="4"/>
      <c r="R374" s="4" t="s">
        <v>1688</v>
      </c>
      <c r="S374" s="4"/>
      <c r="T374" s="4"/>
      <c r="U374" s="4" t="s">
        <v>56</v>
      </c>
      <c r="V374" s="6"/>
      <c r="W374" s="4" t="s">
        <v>57</v>
      </c>
    </row>
    <row r="375" customFormat="false" ht="15" hidden="false" customHeight="false" outlineLevel="0" collapsed="false">
      <c r="A375" s="4" t="s">
        <v>1689</v>
      </c>
      <c r="B375" s="4" t="s">
        <v>1690</v>
      </c>
      <c r="C375" s="4" t="s">
        <v>117</v>
      </c>
      <c r="D375" s="4" t="s">
        <v>1691</v>
      </c>
      <c r="E375" s="4"/>
      <c r="F375" s="4" t="s">
        <v>1624</v>
      </c>
      <c r="G375" s="4"/>
      <c r="H375" s="4" t="s">
        <v>35</v>
      </c>
      <c r="I375" s="4"/>
      <c r="J375" s="5"/>
      <c r="K375" s="5"/>
      <c r="L375" s="4"/>
      <c r="M375" s="4" t="s">
        <v>60</v>
      </c>
      <c r="N375" s="4" t="s">
        <v>36</v>
      </c>
      <c r="O375" s="4" t="s">
        <v>53</v>
      </c>
      <c r="P375" s="4"/>
      <c r="Q375" s="4"/>
      <c r="R375" s="4" t="s">
        <v>1692</v>
      </c>
      <c r="S375" s="4"/>
      <c r="T375" s="4"/>
      <c r="U375" s="4" t="s">
        <v>56</v>
      </c>
      <c r="V375" s="6"/>
      <c r="W375" s="4" t="s">
        <v>57</v>
      </c>
    </row>
    <row r="376" customFormat="false" ht="15" hidden="false" customHeight="false" outlineLevel="0" collapsed="false">
      <c r="A376" s="4" t="s">
        <v>1693</v>
      </c>
      <c r="B376" s="4" t="s">
        <v>1694</v>
      </c>
      <c r="C376" s="4" t="s">
        <v>117</v>
      </c>
      <c r="D376" s="4" t="s">
        <v>1695</v>
      </c>
      <c r="E376" s="4"/>
      <c r="F376" s="4" t="s">
        <v>1624</v>
      </c>
      <c r="G376" s="4"/>
      <c r="H376" s="4" t="s">
        <v>35</v>
      </c>
      <c r="I376" s="4"/>
      <c r="J376" s="5"/>
      <c r="K376" s="5"/>
      <c r="L376" s="4"/>
      <c r="M376" s="4" t="s">
        <v>60</v>
      </c>
      <c r="N376" s="4" t="s">
        <v>36</v>
      </c>
      <c r="O376" s="4" t="s">
        <v>53</v>
      </c>
      <c r="P376" s="4"/>
      <c r="Q376" s="4"/>
      <c r="R376" s="4" t="s">
        <v>1696</v>
      </c>
      <c r="S376" s="4"/>
      <c r="T376" s="4"/>
      <c r="U376" s="4" t="s">
        <v>56</v>
      </c>
      <c r="V376" s="6"/>
      <c r="W376" s="4" t="s">
        <v>57</v>
      </c>
    </row>
    <row r="377" customFormat="false" ht="15" hidden="false" customHeight="false" outlineLevel="0" collapsed="false">
      <c r="A377" s="4" t="s">
        <v>1697</v>
      </c>
      <c r="B377" s="4" t="s">
        <v>1698</v>
      </c>
      <c r="C377" s="4" t="s">
        <v>117</v>
      </c>
      <c r="D377" s="4" t="s">
        <v>1699</v>
      </c>
      <c r="E377" s="4"/>
      <c r="F377" s="4" t="s">
        <v>1624</v>
      </c>
      <c r="G377" s="4"/>
      <c r="H377" s="4" t="s">
        <v>35</v>
      </c>
      <c r="I377" s="4"/>
      <c r="J377" s="5"/>
      <c r="K377" s="5"/>
      <c r="L377" s="4"/>
      <c r="M377" s="4" t="s">
        <v>60</v>
      </c>
      <c r="N377" s="4" t="s">
        <v>36</v>
      </c>
      <c r="O377" s="4" t="s">
        <v>53</v>
      </c>
      <c r="P377" s="4"/>
      <c r="Q377" s="4"/>
      <c r="R377" s="4" t="s">
        <v>1700</v>
      </c>
      <c r="S377" s="4"/>
      <c r="T377" s="4"/>
      <c r="U377" s="4" t="s">
        <v>56</v>
      </c>
      <c r="V377" s="6"/>
      <c r="W377" s="4" t="s">
        <v>57</v>
      </c>
    </row>
    <row r="378" customFormat="false" ht="15" hidden="false" customHeight="false" outlineLevel="0" collapsed="false">
      <c r="A378" s="4" t="s">
        <v>1701</v>
      </c>
      <c r="B378" s="4" t="s">
        <v>1702</v>
      </c>
      <c r="C378" s="4" t="s">
        <v>117</v>
      </c>
      <c r="D378" s="4" t="s">
        <v>1703</v>
      </c>
      <c r="E378" s="4"/>
      <c r="F378" s="4" t="s">
        <v>1624</v>
      </c>
      <c r="G378" s="4"/>
      <c r="H378" s="4" t="s">
        <v>35</v>
      </c>
      <c r="I378" s="4"/>
      <c r="J378" s="5"/>
      <c r="K378" s="5"/>
      <c r="L378" s="4"/>
      <c r="M378" s="4" t="s">
        <v>60</v>
      </c>
      <c r="N378" s="4" t="s">
        <v>36</v>
      </c>
      <c r="O378" s="4" t="s">
        <v>53</v>
      </c>
      <c r="P378" s="4"/>
      <c r="Q378" s="4" t="s">
        <v>1704</v>
      </c>
      <c r="R378" s="4" t="s">
        <v>1705</v>
      </c>
      <c r="S378" s="4"/>
      <c r="T378" s="4"/>
      <c r="U378" s="4" t="s">
        <v>56</v>
      </c>
      <c r="V378" s="6"/>
      <c r="W378" s="4" t="s">
        <v>57</v>
      </c>
    </row>
    <row r="379" customFormat="false" ht="15" hidden="false" customHeight="false" outlineLevel="0" collapsed="false">
      <c r="A379" s="4" t="s">
        <v>1706</v>
      </c>
      <c r="B379" s="4" t="s">
        <v>1707</v>
      </c>
      <c r="C379" s="4" t="s">
        <v>117</v>
      </c>
      <c r="D379" s="4" t="s">
        <v>1708</v>
      </c>
      <c r="E379" s="4"/>
      <c r="F379" s="4" t="s">
        <v>1624</v>
      </c>
      <c r="G379" s="4"/>
      <c r="H379" s="4" t="s">
        <v>35</v>
      </c>
      <c r="I379" s="4"/>
      <c r="J379" s="5"/>
      <c r="K379" s="5"/>
      <c r="L379" s="4"/>
      <c r="M379" s="4" t="s">
        <v>60</v>
      </c>
      <c r="N379" s="4" t="s">
        <v>36</v>
      </c>
      <c r="O379" s="4" t="s">
        <v>53</v>
      </c>
      <c r="P379" s="4"/>
      <c r="Q379" s="4"/>
      <c r="R379" s="4" t="s">
        <v>1709</v>
      </c>
      <c r="S379" s="4"/>
      <c r="T379" s="4"/>
      <c r="U379" s="4" t="s">
        <v>56</v>
      </c>
      <c r="V379" s="6"/>
      <c r="W379" s="4" t="s">
        <v>57</v>
      </c>
    </row>
    <row r="380" customFormat="false" ht="15" hidden="false" customHeight="false" outlineLevel="0" collapsed="false">
      <c r="A380" s="4" t="s">
        <v>1710</v>
      </c>
      <c r="B380" s="4" t="s">
        <v>1711</v>
      </c>
      <c r="C380" s="4" t="s">
        <v>320</v>
      </c>
      <c r="D380" s="4" t="s">
        <v>1712</v>
      </c>
      <c r="E380" s="4"/>
      <c r="F380" s="4" t="s">
        <v>1713</v>
      </c>
      <c r="G380" s="4"/>
      <c r="H380" s="4" t="s">
        <v>35</v>
      </c>
      <c r="I380" s="4"/>
      <c r="J380" s="5"/>
      <c r="K380" s="5"/>
      <c r="L380" s="4"/>
      <c r="M380" s="4" t="s">
        <v>36</v>
      </c>
      <c r="N380" s="4" t="s">
        <v>36</v>
      </c>
      <c r="O380" s="4" t="s">
        <v>53</v>
      </c>
      <c r="P380" s="4"/>
      <c r="Q380" s="4" t="s">
        <v>1714</v>
      </c>
      <c r="R380" s="4" t="s">
        <v>1715</v>
      </c>
      <c r="S380" s="4"/>
      <c r="T380" s="4"/>
      <c r="U380" s="4" t="s">
        <v>56</v>
      </c>
      <c r="V380" s="6"/>
      <c r="W380" s="4" t="s">
        <v>57</v>
      </c>
    </row>
    <row r="381" customFormat="false" ht="15" hidden="false" customHeight="false" outlineLevel="0" collapsed="false">
      <c r="A381" s="4" t="s">
        <v>1716</v>
      </c>
      <c r="B381" s="4" t="s">
        <v>1717</v>
      </c>
      <c r="C381" s="4" t="s">
        <v>117</v>
      </c>
      <c r="D381" s="4" t="s">
        <v>1718</v>
      </c>
      <c r="E381" s="4"/>
      <c r="F381" s="4" t="s">
        <v>1713</v>
      </c>
      <c r="G381" s="4"/>
      <c r="H381" s="4" t="s">
        <v>35</v>
      </c>
      <c r="I381" s="4"/>
      <c r="J381" s="5"/>
      <c r="K381" s="5"/>
      <c r="L381" s="4"/>
      <c r="M381" s="4" t="s">
        <v>36</v>
      </c>
      <c r="N381" s="4" t="s">
        <v>36</v>
      </c>
      <c r="O381" s="4" t="s">
        <v>53</v>
      </c>
      <c r="P381" s="4"/>
      <c r="Q381" s="4"/>
      <c r="R381" s="4" t="s">
        <v>1719</v>
      </c>
      <c r="S381" s="4"/>
      <c r="T381" s="4"/>
      <c r="U381" s="4" t="s">
        <v>56</v>
      </c>
      <c r="V381" s="6"/>
      <c r="W381" s="4" t="s">
        <v>57</v>
      </c>
    </row>
    <row r="382" customFormat="false" ht="15" hidden="false" customHeight="false" outlineLevel="0" collapsed="false">
      <c r="A382" s="4" t="s">
        <v>1720</v>
      </c>
      <c r="B382" s="4" t="s">
        <v>1721</v>
      </c>
      <c r="C382" s="4" t="s">
        <v>117</v>
      </c>
      <c r="D382" s="4" t="s">
        <v>1722</v>
      </c>
      <c r="E382" s="4"/>
      <c r="F382" s="4" t="s">
        <v>1713</v>
      </c>
      <c r="G382" s="4"/>
      <c r="H382" s="4" t="s">
        <v>35</v>
      </c>
      <c r="I382" s="4"/>
      <c r="J382" s="5"/>
      <c r="K382" s="5"/>
      <c r="L382" s="4"/>
      <c r="M382" s="4" t="s">
        <v>36</v>
      </c>
      <c r="N382" s="4" t="s">
        <v>36</v>
      </c>
      <c r="O382" s="4" t="s">
        <v>53</v>
      </c>
      <c r="P382" s="4"/>
      <c r="Q382" s="4"/>
      <c r="R382" s="4" t="s">
        <v>1723</v>
      </c>
      <c r="S382" s="4"/>
      <c r="T382" s="4"/>
      <c r="U382" s="4" t="s">
        <v>56</v>
      </c>
      <c r="V382" s="6"/>
      <c r="W382" s="4" t="s">
        <v>57</v>
      </c>
    </row>
    <row r="383" customFormat="false" ht="15" hidden="false" customHeight="false" outlineLevel="0" collapsed="false">
      <c r="A383" s="4" t="s">
        <v>1724</v>
      </c>
      <c r="B383" s="4" t="s">
        <v>1725</v>
      </c>
      <c r="C383" s="4" t="s">
        <v>117</v>
      </c>
      <c r="D383" s="4" t="s">
        <v>1726</v>
      </c>
      <c r="E383" s="4"/>
      <c r="F383" s="4" t="s">
        <v>1713</v>
      </c>
      <c r="G383" s="4"/>
      <c r="H383" s="4" t="s">
        <v>35</v>
      </c>
      <c r="I383" s="4"/>
      <c r="J383" s="5"/>
      <c r="K383" s="5"/>
      <c r="L383" s="4"/>
      <c r="M383" s="4" t="s">
        <v>60</v>
      </c>
      <c r="N383" s="4" t="s">
        <v>36</v>
      </c>
      <c r="O383" s="4" t="s">
        <v>53</v>
      </c>
      <c r="P383" s="4"/>
      <c r="Q383" s="4"/>
      <c r="R383" s="4" t="s">
        <v>1727</v>
      </c>
      <c r="S383" s="4"/>
      <c r="T383" s="4"/>
      <c r="U383" s="4" t="s">
        <v>56</v>
      </c>
      <c r="V383" s="6"/>
      <c r="W383" s="4" t="s">
        <v>57</v>
      </c>
    </row>
    <row r="384" customFormat="false" ht="15" hidden="false" customHeight="false" outlineLevel="0" collapsed="false">
      <c r="A384" s="4" t="s">
        <v>1728</v>
      </c>
      <c r="B384" s="4" t="s">
        <v>1729</v>
      </c>
      <c r="C384" s="4" t="s">
        <v>117</v>
      </c>
      <c r="D384" s="4" t="s">
        <v>1730</v>
      </c>
      <c r="E384" s="4"/>
      <c r="F384" s="4" t="s">
        <v>1713</v>
      </c>
      <c r="G384" s="4"/>
      <c r="H384" s="4" t="s">
        <v>35</v>
      </c>
      <c r="I384" s="4"/>
      <c r="J384" s="5"/>
      <c r="K384" s="5"/>
      <c r="L384" s="4"/>
      <c r="M384" s="4" t="s">
        <v>60</v>
      </c>
      <c r="N384" s="4" t="s">
        <v>36</v>
      </c>
      <c r="O384" s="4" t="s">
        <v>53</v>
      </c>
      <c r="P384" s="4"/>
      <c r="Q384" s="4" t="s">
        <v>1731</v>
      </c>
      <c r="R384" s="4" t="s">
        <v>1732</v>
      </c>
      <c r="S384" s="4"/>
      <c r="T384" s="4"/>
      <c r="U384" s="4" t="s">
        <v>56</v>
      </c>
      <c r="V384" s="6"/>
      <c r="W384" s="4" t="s">
        <v>57</v>
      </c>
    </row>
    <row r="385" customFormat="false" ht="15" hidden="false" customHeight="false" outlineLevel="0" collapsed="false">
      <c r="A385" s="4" t="s">
        <v>1733</v>
      </c>
      <c r="B385" s="4" t="s">
        <v>1734</v>
      </c>
      <c r="C385" s="4" t="s">
        <v>117</v>
      </c>
      <c r="D385" s="4" t="s">
        <v>1735</v>
      </c>
      <c r="E385" s="4"/>
      <c r="F385" s="4" t="s">
        <v>1713</v>
      </c>
      <c r="G385" s="4"/>
      <c r="H385" s="4" t="s">
        <v>35</v>
      </c>
      <c r="I385" s="4"/>
      <c r="J385" s="5"/>
      <c r="K385" s="5"/>
      <c r="L385" s="4"/>
      <c r="M385" s="4" t="s">
        <v>60</v>
      </c>
      <c r="N385" s="4" t="s">
        <v>36</v>
      </c>
      <c r="O385" s="4" t="s">
        <v>53</v>
      </c>
      <c r="P385" s="4"/>
      <c r="Q385" s="4"/>
      <c r="R385" s="4" t="s">
        <v>1736</v>
      </c>
      <c r="S385" s="4"/>
      <c r="T385" s="4"/>
      <c r="U385" s="4" t="s">
        <v>56</v>
      </c>
      <c r="V385" s="6"/>
      <c r="W385" s="4" t="s">
        <v>57</v>
      </c>
    </row>
    <row r="386" customFormat="false" ht="15" hidden="false" customHeight="false" outlineLevel="0" collapsed="false">
      <c r="A386" s="4" t="s">
        <v>1737</v>
      </c>
      <c r="B386" s="4" t="s">
        <v>1738</v>
      </c>
      <c r="C386" s="4" t="s">
        <v>117</v>
      </c>
      <c r="D386" s="4" t="s">
        <v>1739</v>
      </c>
      <c r="E386" s="4"/>
      <c r="F386" s="4" t="s">
        <v>1713</v>
      </c>
      <c r="G386" s="4"/>
      <c r="H386" s="4" t="s">
        <v>35</v>
      </c>
      <c r="I386" s="4"/>
      <c r="J386" s="5"/>
      <c r="K386" s="5"/>
      <c r="L386" s="4"/>
      <c r="M386" s="4" t="s">
        <v>60</v>
      </c>
      <c r="N386" s="4" t="s">
        <v>36</v>
      </c>
      <c r="O386" s="4" t="s">
        <v>53</v>
      </c>
      <c r="P386" s="4"/>
      <c r="Q386" s="4"/>
      <c r="R386" s="4" t="s">
        <v>1740</v>
      </c>
      <c r="S386" s="4"/>
      <c r="T386" s="4"/>
      <c r="U386" s="4" t="s">
        <v>56</v>
      </c>
      <c r="V386" s="6"/>
      <c r="W386" s="4" t="s">
        <v>57</v>
      </c>
    </row>
    <row r="387" customFormat="false" ht="15" hidden="false" customHeight="false" outlineLevel="0" collapsed="false">
      <c r="A387" s="4" t="s">
        <v>1741</v>
      </c>
      <c r="B387" s="4" t="s">
        <v>1742</v>
      </c>
      <c r="C387" s="4" t="s">
        <v>117</v>
      </c>
      <c r="D387" s="4" t="s">
        <v>1743</v>
      </c>
      <c r="E387" s="4"/>
      <c r="F387" s="4" t="s">
        <v>1713</v>
      </c>
      <c r="G387" s="4"/>
      <c r="H387" s="4" t="s">
        <v>35</v>
      </c>
      <c r="I387" s="4"/>
      <c r="J387" s="5"/>
      <c r="K387" s="5"/>
      <c r="L387" s="4"/>
      <c r="M387" s="4" t="s">
        <v>60</v>
      </c>
      <c r="N387" s="4" t="s">
        <v>36</v>
      </c>
      <c r="O387" s="4" t="s">
        <v>53</v>
      </c>
      <c r="P387" s="4"/>
      <c r="Q387" s="4"/>
      <c r="R387" s="4" t="s">
        <v>1744</v>
      </c>
      <c r="S387" s="4"/>
      <c r="T387" s="4"/>
      <c r="U387" s="4" t="s">
        <v>56</v>
      </c>
      <c r="V387" s="6"/>
      <c r="W387" s="4" t="s">
        <v>57</v>
      </c>
    </row>
    <row r="388" customFormat="false" ht="15" hidden="false" customHeight="false" outlineLevel="0" collapsed="false">
      <c r="A388" s="4" t="s">
        <v>1745</v>
      </c>
      <c r="B388" s="4" t="s">
        <v>1746</v>
      </c>
      <c r="C388" s="4" t="s">
        <v>117</v>
      </c>
      <c r="D388" s="4" t="s">
        <v>1747</v>
      </c>
      <c r="E388" s="4"/>
      <c r="F388" s="4" t="s">
        <v>1713</v>
      </c>
      <c r="G388" s="4"/>
      <c r="H388" s="4" t="s">
        <v>35</v>
      </c>
      <c r="I388" s="4"/>
      <c r="J388" s="5"/>
      <c r="K388" s="5"/>
      <c r="L388" s="4"/>
      <c r="M388" s="4" t="s">
        <v>60</v>
      </c>
      <c r="N388" s="4" t="s">
        <v>36</v>
      </c>
      <c r="O388" s="4" t="s">
        <v>53</v>
      </c>
      <c r="P388" s="4"/>
      <c r="Q388" s="4"/>
      <c r="R388" s="4" t="s">
        <v>1748</v>
      </c>
      <c r="S388" s="4"/>
      <c r="T388" s="4"/>
      <c r="U388" s="4" t="s">
        <v>56</v>
      </c>
      <c r="V388" s="6"/>
      <c r="W388" s="4" t="s">
        <v>57</v>
      </c>
    </row>
    <row r="389" customFormat="false" ht="15" hidden="false" customHeight="false" outlineLevel="0" collapsed="false">
      <c r="A389" s="4" t="s">
        <v>1749</v>
      </c>
      <c r="B389" s="4" t="s">
        <v>1750</v>
      </c>
      <c r="C389" s="4" t="s">
        <v>117</v>
      </c>
      <c r="D389" s="4" t="s">
        <v>1751</v>
      </c>
      <c r="E389" s="4"/>
      <c r="F389" s="4" t="s">
        <v>1713</v>
      </c>
      <c r="G389" s="4"/>
      <c r="H389" s="4" t="s">
        <v>35</v>
      </c>
      <c r="I389" s="4"/>
      <c r="J389" s="5"/>
      <c r="K389" s="5"/>
      <c r="L389" s="4"/>
      <c r="M389" s="4" t="s">
        <v>60</v>
      </c>
      <c r="N389" s="4" t="s">
        <v>36</v>
      </c>
      <c r="O389" s="4" t="s">
        <v>53</v>
      </c>
      <c r="P389" s="4"/>
      <c r="Q389" s="4"/>
      <c r="R389" s="4" t="s">
        <v>1752</v>
      </c>
      <c r="S389" s="4"/>
      <c r="T389" s="4"/>
      <c r="U389" s="4" t="s">
        <v>56</v>
      </c>
      <c r="V389" s="6"/>
      <c r="W389" s="4" t="s">
        <v>57</v>
      </c>
    </row>
    <row r="390" customFormat="false" ht="15" hidden="false" customHeight="false" outlineLevel="0" collapsed="false">
      <c r="A390" s="4" t="s">
        <v>1753</v>
      </c>
      <c r="B390" s="4" t="s">
        <v>1754</v>
      </c>
      <c r="C390" s="4" t="s">
        <v>117</v>
      </c>
      <c r="D390" s="4" t="s">
        <v>1755</v>
      </c>
      <c r="E390" s="4"/>
      <c r="F390" s="4" t="s">
        <v>1713</v>
      </c>
      <c r="G390" s="4"/>
      <c r="H390" s="4" t="s">
        <v>35</v>
      </c>
      <c r="I390" s="4"/>
      <c r="J390" s="5"/>
      <c r="K390" s="5"/>
      <c r="L390" s="4"/>
      <c r="M390" s="4" t="s">
        <v>60</v>
      </c>
      <c r="N390" s="4" t="s">
        <v>36</v>
      </c>
      <c r="O390" s="4" t="s">
        <v>53</v>
      </c>
      <c r="P390" s="4"/>
      <c r="Q390" s="4"/>
      <c r="R390" s="4" t="s">
        <v>1756</v>
      </c>
      <c r="S390" s="4"/>
      <c r="T390" s="4"/>
      <c r="U390" s="4" t="s">
        <v>56</v>
      </c>
      <c r="V390" s="6"/>
      <c r="W390" s="4" t="s">
        <v>57</v>
      </c>
    </row>
    <row r="391" customFormat="false" ht="15" hidden="false" customHeight="false" outlineLevel="0" collapsed="false">
      <c r="A391" s="4" t="s">
        <v>1757</v>
      </c>
      <c r="B391" s="4" t="s">
        <v>1758</v>
      </c>
      <c r="C391" s="4" t="s">
        <v>117</v>
      </c>
      <c r="D391" s="4" t="s">
        <v>1759</v>
      </c>
      <c r="E391" s="4"/>
      <c r="F391" s="4"/>
      <c r="G391" s="4" t="s">
        <v>1760</v>
      </c>
      <c r="H391" s="4" t="s">
        <v>35</v>
      </c>
      <c r="I391" s="4"/>
      <c r="J391" s="5"/>
      <c r="K391" s="5"/>
      <c r="L391" s="4"/>
      <c r="M391" s="4" t="s">
        <v>36</v>
      </c>
      <c r="N391" s="4" t="s">
        <v>36</v>
      </c>
      <c r="O391" s="4" t="s">
        <v>53</v>
      </c>
      <c r="P391" s="4"/>
      <c r="Q391" s="4" t="s">
        <v>1761</v>
      </c>
      <c r="R391" s="4" t="s">
        <v>1762</v>
      </c>
      <c r="S391" s="4"/>
      <c r="T391" s="4"/>
      <c r="U391" s="4" t="s">
        <v>56</v>
      </c>
      <c r="V391" s="6"/>
      <c r="W391" s="4" t="s">
        <v>57</v>
      </c>
    </row>
    <row r="392" customFormat="false" ht="15" hidden="false" customHeight="false" outlineLevel="0" collapsed="false">
      <c r="A392" s="4" t="s">
        <v>1763</v>
      </c>
      <c r="B392" s="4" t="s">
        <v>1764</v>
      </c>
      <c r="C392" s="4" t="s">
        <v>117</v>
      </c>
      <c r="D392" s="4" t="s">
        <v>1765</v>
      </c>
      <c r="E392" s="4"/>
      <c r="F392" s="4"/>
      <c r="G392" s="4" t="s">
        <v>1760</v>
      </c>
      <c r="H392" s="4" t="s">
        <v>35</v>
      </c>
      <c r="I392" s="4"/>
      <c r="J392" s="5"/>
      <c r="K392" s="5"/>
      <c r="L392" s="4"/>
      <c r="M392" s="4" t="s">
        <v>60</v>
      </c>
      <c r="N392" s="4" t="s">
        <v>36</v>
      </c>
      <c r="O392" s="4" t="s">
        <v>53</v>
      </c>
      <c r="P392" s="4"/>
      <c r="Q392" s="4"/>
      <c r="R392" s="4" t="s">
        <v>1766</v>
      </c>
      <c r="S392" s="4"/>
      <c r="T392" s="4"/>
      <c r="U392" s="4" t="s">
        <v>56</v>
      </c>
      <c r="V392" s="6"/>
      <c r="W392" s="4" t="s">
        <v>57</v>
      </c>
    </row>
    <row r="393" customFormat="false" ht="15" hidden="false" customHeight="false" outlineLevel="0" collapsed="false">
      <c r="A393" s="4" t="s">
        <v>1767</v>
      </c>
      <c r="B393" s="4" t="s">
        <v>1768</v>
      </c>
      <c r="C393" s="4" t="s">
        <v>117</v>
      </c>
      <c r="D393" s="4" t="s">
        <v>1769</v>
      </c>
      <c r="E393" s="4"/>
      <c r="F393" s="4"/>
      <c r="G393" s="4" t="s">
        <v>1760</v>
      </c>
      <c r="H393" s="4" t="s">
        <v>35</v>
      </c>
      <c r="I393" s="4"/>
      <c r="J393" s="5"/>
      <c r="K393" s="5"/>
      <c r="L393" s="4"/>
      <c r="M393" s="4" t="s">
        <v>60</v>
      </c>
      <c r="N393" s="4" t="s">
        <v>36</v>
      </c>
      <c r="O393" s="4" t="s">
        <v>53</v>
      </c>
      <c r="P393" s="4"/>
      <c r="Q393" s="4"/>
      <c r="R393" s="4" t="s">
        <v>1770</v>
      </c>
      <c r="S393" s="4"/>
      <c r="T393" s="4"/>
      <c r="U393" s="4" t="s">
        <v>56</v>
      </c>
      <c r="V393" s="6"/>
      <c r="W393" s="4" t="s">
        <v>57</v>
      </c>
    </row>
    <row r="394" customFormat="false" ht="15" hidden="false" customHeight="false" outlineLevel="0" collapsed="false">
      <c r="A394" s="4" t="s">
        <v>1771</v>
      </c>
      <c r="B394" s="4" t="s">
        <v>1772</v>
      </c>
      <c r="C394" s="4" t="s">
        <v>117</v>
      </c>
      <c r="D394" s="4" t="s">
        <v>1773</v>
      </c>
      <c r="E394" s="4"/>
      <c r="F394" s="4"/>
      <c r="G394" s="4" t="s">
        <v>1760</v>
      </c>
      <c r="H394" s="4" t="s">
        <v>35</v>
      </c>
      <c r="I394" s="4"/>
      <c r="J394" s="5"/>
      <c r="K394" s="5"/>
      <c r="L394" s="4"/>
      <c r="M394" s="4" t="s">
        <v>60</v>
      </c>
      <c r="N394" s="4" t="s">
        <v>36</v>
      </c>
      <c r="O394" s="4" t="s">
        <v>53</v>
      </c>
      <c r="P394" s="4"/>
      <c r="Q394" s="4"/>
      <c r="R394" s="4" t="s">
        <v>1774</v>
      </c>
      <c r="S394" s="4"/>
      <c r="T394" s="4"/>
      <c r="U394" s="4" t="s">
        <v>56</v>
      </c>
      <c r="V394" s="6"/>
      <c r="W394" s="4" t="s">
        <v>57</v>
      </c>
    </row>
    <row r="395" customFormat="false" ht="15" hidden="false" customHeight="false" outlineLevel="0" collapsed="false">
      <c r="A395" s="4" t="s">
        <v>1775</v>
      </c>
      <c r="B395" s="4" t="s">
        <v>1776</v>
      </c>
      <c r="C395" s="4" t="s">
        <v>320</v>
      </c>
      <c r="D395" s="4" t="s">
        <v>1777</v>
      </c>
      <c r="E395" s="4"/>
      <c r="F395" s="4"/>
      <c r="G395" s="4" t="s">
        <v>1777</v>
      </c>
      <c r="H395" s="4" t="s">
        <v>35</v>
      </c>
      <c r="I395" s="4"/>
      <c r="J395" s="5"/>
      <c r="K395" s="5"/>
      <c r="L395" s="4"/>
      <c r="M395" s="4" t="s">
        <v>36</v>
      </c>
      <c r="N395" s="4" t="s">
        <v>36</v>
      </c>
      <c r="O395" s="4" t="s">
        <v>53</v>
      </c>
      <c r="P395" s="4"/>
      <c r="Q395" s="4" t="s">
        <v>1778</v>
      </c>
      <c r="R395" s="4" t="s">
        <v>1779</v>
      </c>
      <c r="S395" s="4"/>
      <c r="T395" s="4"/>
      <c r="U395" s="4" t="s">
        <v>56</v>
      </c>
      <c r="V395" s="6"/>
      <c r="W395" s="4" t="s">
        <v>57</v>
      </c>
    </row>
    <row r="396" customFormat="false" ht="15" hidden="false" customHeight="false" outlineLevel="0" collapsed="false">
      <c r="A396" s="4" t="s">
        <v>1780</v>
      </c>
      <c r="B396" s="4" t="s">
        <v>1781</v>
      </c>
      <c r="C396" s="4" t="s">
        <v>320</v>
      </c>
      <c r="D396" s="4" t="s">
        <v>1777</v>
      </c>
      <c r="E396" s="4"/>
      <c r="F396" s="4"/>
      <c r="G396" s="4" t="s">
        <v>1777</v>
      </c>
      <c r="H396" s="4" t="s">
        <v>35</v>
      </c>
      <c r="I396" s="4"/>
      <c r="J396" s="5"/>
      <c r="K396" s="5"/>
      <c r="L396" s="4"/>
      <c r="M396" s="4" t="s">
        <v>36</v>
      </c>
      <c r="N396" s="4" t="s">
        <v>36</v>
      </c>
      <c r="O396" s="4" t="s">
        <v>53</v>
      </c>
      <c r="P396" s="4"/>
      <c r="Q396" s="4" t="s">
        <v>1782</v>
      </c>
      <c r="R396" s="4" t="s">
        <v>1783</v>
      </c>
      <c r="S396" s="4"/>
      <c r="T396" s="4"/>
      <c r="U396" s="4" t="s">
        <v>56</v>
      </c>
      <c r="V396" s="6"/>
      <c r="W396" s="4" t="s">
        <v>57</v>
      </c>
    </row>
    <row r="397" customFormat="false" ht="15" hidden="false" customHeight="false" outlineLevel="0" collapsed="false">
      <c r="A397" s="4" t="s">
        <v>1784</v>
      </c>
      <c r="B397" s="4" t="s">
        <v>1785</v>
      </c>
      <c r="C397" s="4" t="s">
        <v>117</v>
      </c>
      <c r="D397" s="4" t="s">
        <v>1786</v>
      </c>
      <c r="E397" s="4"/>
      <c r="F397" s="4"/>
      <c r="G397" s="4" t="s">
        <v>1787</v>
      </c>
      <c r="H397" s="4" t="s">
        <v>35</v>
      </c>
      <c r="I397" s="4"/>
      <c r="J397" s="5"/>
      <c r="K397" s="5"/>
      <c r="L397" s="4"/>
      <c r="M397" s="4" t="s">
        <v>60</v>
      </c>
      <c r="N397" s="4" t="s">
        <v>36</v>
      </c>
      <c r="O397" s="4" t="s">
        <v>53</v>
      </c>
      <c r="P397" s="4"/>
      <c r="Q397" s="4"/>
      <c r="R397" s="4" t="s">
        <v>1788</v>
      </c>
      <c r="S397" s="4"/>
      <c r="T397" s="4"/>
      <c r="U397" s="4" t="s">
        <v>56</v>
      </c>
      <c r="V397" s="6"/>
      <c r="W397" s="4" t="s">
        <v>57</v>
      </c>
    </row>
    <row r="398" customFormat="false" ht="15" hidden="false" customHeight="false" outlineLevel="0" collapsed="false">
      <c r="A398" s="4" t="s">
        <v>1789</v>
      </c>
      <c r="B398" s="4" t="s">
        <v>1790</v>
      </c>
      <c r="C398" s="4" t="s">
        <v>117</v>
      </c>
      <c r="D398" s="4" t="s">
        <v>1791</v>
      </c>
      <c r="E398" s="4"/>
      <c r="F398" s="4"/>
      <c r="G398" s="4" t="s">
        <v>1787</v>
      </c>
      <c r="H398" s="4" t="s">
        <v>35</v>
      </c>
      <c r="I398" s="4"/>
      <c r="J398" s="5"/>
      <c r="K398" s="5"/>
      <c r="L398" s="4"/>
      <c r="M398" s="4" t="s">
        <v>60</v>
      </c>
      <c r="N398" s="4" t="s">
        <v>36</v>
      </c>
      <c r="O398" s="4" t="s">
        <v>53</v>
      </c>
      <c r="P398" s="4"/>
      <c r="Q398" s="4"/>
      <c r="R398" s="4" t="s">
        <v>1792</v>
      </c>
      <c r="S398" s="4"/>
      <c r="T398" s="4"/>
      <c r="U398" s="4" t="s">
        <v>56</v>
      </c>
      <c r="V398" s="6"/>
      <c r="W398" s="4" t="s">
        <v>57</v>
      </c>
    </row>
    <row r="399" customFormat="false" ht="15" hidden="false" customHeight="false" outlineLevel="0" collapsed="false">
      <c r="A399" s="4" t="s">
        <v>1793</v>
      </c>
      <c r="B399" s="4" t="s">
        <v>1794</v>
      </c>
      <c r="C399" s="4" t="s">
        <v>117</v>
      </c>
      <c r="D399" s="4" t="s">
        <v>1795</v>
      </c>
      <c r="E399" s="4"/>
      <c r="F399" s="4"/>
      <c r="G399" s="4" t="s">
        <v>1787</v>
      </c>
      <c r="H399" s="4" t="s">
        <v>35</v>
      </c>
      <c r="I399" s="4"/>
      <c r="J399" s="5"/>
      <c r="K399" s="5"/>
      <c r="L399" s="4"/>
      <c r="M399" s="4" t="s">
        <v>60</v>
      </c>
      <c r="N399" s="4" t="s">
        <v>36</v>
      </c>
      <c r="O399" s="4" t="s">
        <v>53</v>
      </c>
      <c r="P399" s="4"/>
      <c r="Q399" s="4"/>
      <c r="R399" s="4" t="s">
        <v>1796</v>
      </c>
      <c r="S399" s="4"/>
      <c r="T399" s="4"/>
      <c r="U399" s="4" t="s">
        <v>56</v>
      </c>
      <c r="V399" s="6"/>
      <c r="W399" s="4" t="s">
        <v>57</v>
      </c>
    </row>
    <row r="400" customFormat="false" ht="15" hidden="false" customHeight="false" outlineLevel="0" collapsed="false">
      <c r="A400" s="4" t="s">
        <v>1797</v>
      </c>
      <c r="B400" s="4" t="s">
        <v>1798</v>
      </c>
      <c r="C400" s="4" t="s">
        <v>320</v>
      </c>
      <c r="D400" s="4" t="s">
        <v>1799</v>
      </c>
      <c r="E400" s="4"/>
      <c r="F400" s="4"/>
      <c r="G400" s="4" t="s">
        <v>1799</v>
      </c>
      <c r="H400" s="4" t="s">
        <v>35</v>
      </c>
      <c r="I400" s="4"/>
      <c r="J400" s="5"/>
      <c r="K400" s="5"/>
      <c r="L400" s="4"/>
      <c r="M400" s="4" t="s">
        <v>36</v>
      </c>
      <c r="N400" s="4" t="s">
        <v>36</v>
      </c>
      <c r="O400" s="4" t="s">
        <v>53</v>
      </c>
      <c r="P400" s="4"/>
      <c r="Q400" s="4" t="s">
        <v>1800</v>
      </c>
      <c r="R400" s="4" t="s">
        <v>1801</v>
      </c>
      <c r="S400" s="4"/>
      <c r="T400" s="4"/>
      <c r="U400" s="4" t="s">
        <v>56</v>
      </c>
      <c r="V400" s="6"/>
      <c r="W400" s="4" t="s">
        <v>57</v>
      </c>
    </row>
    <row r="401" customFormat="false" ht="15" hidden="false" customHeight="false" outlineLevel="0" collapsed="false">
      <c r="A401" s="4" t="s">
        <v>1802</v>
      </c>
      <c r="B401" s="4" t="s">
        <v>1803</v>
      </c>
      <c r="C401" s="4" t="s">
        <v>320</v>
      </c>
      <c r="D401" s="4" t="s">
        <v>1799</v>
      </c>
      <c r="E401" s="4"/>
      <c r="F401" s="4"/>
      <c r="G401" s="4" t="s">
        <v>1799</v>
      </c>
      <c r="H401" s="4" t="s">
        <v>35</v>
      </c>
      <c r="I401" s="4"/>
      <c r="J401" s="5"/>
      <c r="K401" s="5"/>
      <c r="L401" s="4"/>
      <c r="M401" s="4" t="s">
        <v>36</v>
      </c>
      <c r="N401" s="4" t="s">
        <v>36</v>
      </c>
      <c r="O401" s="4" t="s">
        <v>53</v>
      </c>
      <c r="P401" s="4"/>
      <c r="Q401" s="4" t="s">
        <v>1804</v>
      </c>
      <c r="R401" s="4" t="s">
        <v>1805</v>
      </c>
      <c r="S401" s="4" t="s">
        <v>1806</v>
      </c>
      <c r="T401" s="4" t="s">
        <v>1807</v>
      </c>
      <c r="U401" s="4" t="s">
        <v>42</v>
      </c>
      <c r="V401" s="6" t="n">
        <v>46297</v>
      </c>
      <c r="W401" s="4" t="s">
        <v>50</v>
      </c>
    </row>
    <row r="402" customFormat="false" ht="15" hidden="false" customHeight="false" outlineLevel="0" collapsed="false">
      <c r="A402" s="4" t="s">
        <v>1808</v>
      </c>
      <c r="B402" s="4" t="s">
        <v>1809</v>
      </c>
      <c r="C402" s="4" t="s">
        <v>320</v>
      </c>
      <c r="D402" s="4" t="s">
        <v>1799</v>
      </c>
      <c r="E402" s="4"/>
      <c r="F402" s="4"/>
      <c r="G402" s="4" t="s">
        <v>1799</v>
      </c>
      <c r="H402" s="4" t="s">
        <v>35</v>
      </c>
      <c r="I402" s="4"/>
      <c r="J402" s="5"/>
      <c r="K402" s="5"/>
      <c r="L402" s="4"/>
      <c r="M402" s="4" t="s">
        <v>36</v>
      </c>
      <c r="N402" s="4" t="s">
        <v>36</v>
      </c>
      <c r="O402" s="4" t="s">
        <v>53</v>
      </c>
      <c r="P402" s="4"/>
      <c r="Q402" s="4" t="s">
        <v>1810</v>
      </c>
      <c r="R402" s="4" t="s">
        <v>1811</v>
      </c>
      <c r="S402" s="4"/>
      <c r="T402" s="4"/>
      <c r="U402" s="4" t="s">
        <v>56</v>
      </c>
      <c r="V402" s="6"/>
      <c r="W402" s="4" t="s">
        <v>57</v>
      </c>
    </row>
    <row r="403" customFormat="false" ht="15" hidden="false" customHeight="false" outlineLevel="0" collapsed="false">
      <c r="A403" s="4" t="s">
        <v>1812</v>
      </c>
      <c r="B403" s="4" t="s">
        <v>1813</v>
      </c>
      <c r="C403" s="4" t="s">
        <v>32</v>
      </c>
      <c r="D403" s="4" t="s">
        <v>1799</v>
      </c>
      <c r="E403" s="4"/>
      <c r="F403" s="4"/>
      <c r="G403" s="4" t="s">
        <v>1799</v>
      </c>
      <c r="H403" s="4" t="s">
        <v>35</v>
      </c>
      <c r="I403" s="4"/>
      <c r="J403" s="5"/>
      <c r="K403" s="5"/>
      <c r="L403" s="4"/>
      <c r="M403" s="4" t="s">
        <v>60</v>
      </c>
      <c r="N403" s="4" t="s">
        <v>36</v>
      </c>
      <c r="O403" s="4" t="s">
        <v>53</v>
      </c>
      <c r="P403" s="4"/>
      <c r="Q403" s="4" t="s">
        <v>1814</v>
      </c>
      <c r="R403" s="4" t="s">
        <v>1815</v>
      </c>
      <c r="S403" s="4"/>
      <c r="T403" s="4"/>
      <c r="U403" s="4" t="s">
        <v>56</v>
      </c>
      <c r="V403" s="6"/>
      <c r="W403" s="4" t="s">
        <v>57</v>
      </c>
    </row>
    <row r="404" customFormat="false" ht="15" hidden="false" customHeight="false" outlineLevel="0" collapsed="false">
      <c r="A404" s="4" t="s">
        <v>1816</v>
      </c>
      <c r="B404" s="4" t="s">
        <v>1817</v>
      </c>
      <c r="C404" s="4" t="s">
        <v>32</v>
      </c>
      <c r="D404" s="4" t="s">
        <v>1799</v>
      </c>
      <c r="E404" s="4"/>
      <c r="F404" s="4"/>
      <c r="G404" s="4" t="s">
        <v>1799</v>
      </c>
      <c r="H404" s="4" t="s">
        <v>35</v>
      </c>
      <c r="I404" s="4"/>
      <c r="J404" s="5"/>
      <c r="K404" s="5"/>
      <c r="L404" s="4"/>
      <c r="M404" s="4" t="s">
        <v>60</v>
      </c>
      <c r="N404" s="4" t="s">
        <v>36</v>
      </c>
      <c r="O404" s="4" t="s">
        <v>53</v>
      </c>
      <c r="P404" s="4"/>
      <c r="Q404" s="4" t="s">
        <v>1818</v>
      </c>
      <c r="R404" s="4" t="s">
        <v>1819</v>
      </c>
      <c r="S404" s="4"/>
      <c r="T404" s="4"/>
      <c r="U404" s="4" t="s">
        <v>56</v>
      </c>
      <c r="V404" s="6"/>
      <c r="W404" s="4" t="s">
        <v>57</v>
      </c>
    </row>
    <row r="405" customFormat="false" ht="15" hidden="false" customHeight="false" outlineLevel="0" collapsed="false">
      <c r="A405" s="4" t="s">
        <v>1820</v>
      </c>
      <c r="B405" s="4" t="s">
        <v>1821</v>
      </c>
      <c r="C405" s="4" t="s">
        <v>117</v>
      </c>
      <c r="D405" s="4" t="s">
        <v>1822</v>
      </c>
      <c r="E405" s="4"/>
      <c r="F405" s="4"/>
      <c r="G405" s="4" t="s">
        <v>1823</v>
      </c>
      <c r="H405" s="4" t="s">
        <v>35</v>
      </c>
      <c r="I405" s="4"/>
      <c r="J405" s="5"/>
      <c r="K405" s="5"/>
      <c r="L405" s="4"/>
      <c r="M405" s="4" t="s">
        <v>36</v>
      </c>
      <c r="N405" s="4" t="s">
        <v>36</v>
      </c>
      <c r="O405" s="4" t="s">
        <v>53</v>
      </c>
      <c r="P405" s="4"/>
      <c r="Q405" s="4" t="s">
        <v>1824</v>
      </c>
      <c r="R405" s="4" t="s">
        <v>1825</v>
      </c>
      <c r="S405" s="4"/>
      <c r="T405" s="4"/>
      <c r="U405" s="4" t="s">
        <v>56</v>
      </c>
      <c r="V405" s="6"/>
      <c r="W405" s="4" t="s">
        <v>57</v>
      </c>
    </row>
    <row r="406" customFormat="false" ht="15" hidden="false" customHeight="false" outlineLevel="0" collapsed="false">
      <c r="A406" s="4" t="s">
        <v>1826</v>
      </c>
      <c r="B406" s="4" t="s">
        <v>1827</v>
      </c>
      <c r="C406" s="4" t="s">
        <v>32</v>
      </c>
      <c r="D406" s="4" t="s">
        <v>1822</v>
      </c>
      <c r="E406" s="4"/>
      <c r="F406" s="4"/>
      <c r="G406" s="4" t="s">
        <v>1823</v>
      </c>
      <c r="H406" s="4" t="s">
        <v>35</v>
      </c>
      <c r="I406" s="4"/>
      <c r="J406" s="5"/>
      <c r="K406" s="5"/>
      <c r="L406" s="4"/>
      <c r="M406" s="4" t="s">
        <v>60</v>
      </c>
      <c r="N406" s="4" t="s">
        <v>36</v>
      </c>
      <c r="O406" s="4" t="s">
        <v>53</v>
      </c>
      <c r="P406" s="4"/>
      <c r="Q406" s="4" t="s">
        <v>1828</v>
      </c>
      <c r="R406" s="4" t="s">
        <v>1829</v>
      </c>
      <c r="S406" s="4"/>
      <c r="T406" s="4"/>
      <c r="U406" s="4" t="s">
        <v>56</v>
      </c>
      <c r="V406" s="6"/>
      <c r="W406" s="4" t="s">
        <v>57</v>
      </c>
    </row>
    <row r="407" customFormat="false" ht="15" hidden="false" customHeight="false" outlineLevel="0" collapsed="false">
      <c r="A407" s="4" t="s">
        <v>1830</v>
      </c>
      <c r="B407" s="4" t="s">
        <v>1831</v>
      </c>
      <c r="C407" s="4" t="s">
        <v>117</v>
      </c>
      <c r="D407" s="4" t="s">
        <v>1832</v>
      </c>
      <c r="E407" s="4"/>
      <c r="F407" s="4"/>
      <c r="G407" s="4" t="s">
        <v>1823</v>
      </c>
      <c r="H407" s="4" t="s">
        <v>35</v>
      </c>
      <c r="I407" s="4"/>
      <c r="J407" s="5"/>
      <c r="K407" s="5"/>
      <c r="L407" s="4"/>
      <c r="M407" s="4" t="s">
        <v>36</v>
      </c>
      <c r="N407" s="4" t="s">
        <v>36</v>
      </c>
      <c r="O407" s="4" t="s">
        <v>53</v>
      </c>
      <c r="P407" s="4"/>
      <c r="Q407" s="4" t="s">
        <v>1833</v>
      </c>
      <c r="R407" s="4" t="s">
        <v>1834</v>
      </c>
      <c r="S407" s="4"/>
      <c r="T407" s="4"/>
      <c r="U407" s="4" t="s">
        <v>56</v>
      </c>
      <c r="V407" s="6"/>
      <c r="W407" s="4" t="s">
        <v>57</v>
      </c>
    </row>
    <row r="408" customFormat="false" ht="15" hidden="false" customHeight="false" outlineLevel="0" collapsed="false">
      <c r="A408" s="4" t="s">
        <v>1835</v>
      </c>
      <c r="B408" s="4" t="s">
        <v>1836</v>
      </c>
      <c r="C408" s="4" t="s">
        <v>117</v>
      </c>
      <c r="D408" s="4" t="s">
        <v>1837</v>
      </c>
      <c r="E408" s="4"/>
      <c r="F408" s="4"/>
      <c r="G408" s="4" t="s">
        <v>1823</v>
      </c>
      <c r="H408" s="4" t="s">
        <v>35</v>
      </c>
      <c r="I408" s="4"/>
      <c r="J408" s="5"/>
      <c r="K408" s="5"/>
      <c r="L408" s="4"/>
      <c r="M408" s="4" t="s">
        <v>36</v>
      </c>
      <c r="N408" s="4" t="s">
        <v>36</v>
      </c>
      <c r="O408" s="4" t="s">
        <v>53</v>
      </c>
      <c r="P408" s="4"/>
      <c r="Q408" s="4" t="s">
        <v>1838</v>
      </c>
      <c r="R408" s="4" t="s">
        <v>1839</v>
      </c>
      <c r="S408" s="4"/>
      <c r="T408" s="4"/>
      <c r="U408" s="4" t="s">
        <v>56</v>
      </c>
      <c r="V408" s="6"/>
      <c r="W408" s="4" t="s">
        <v>57</v>
      </c>
    </row>
    <row r="409" customFormat="false" ht="15" hidden="false" customHeight="false" outlineLevel="0" collapsed="false">
      <c r="A409" s="4" t="s">
        <v>1840</v>
      </c>
      <c r="B409" s="4" t="s">
        <v>1841</v>
      </c>
      <c r="C409" s="4" t="s">
        <v>117</v>
      </c>
      <c r="D409" s="4" t="s">
        <v>1842</v>
      </c>
      <c r="E409" s="4"/>
      <c r="F409" s="4"/>
      <c r="G409" s="4" t="s">
        <v>1823</v>
      </c>
      <c r="H409" s="4" t="s">
        <v>35</v>
      </c>
      <c r="I409" s="4"/>
      <c r="J409" s="5"/>
      <c r="K409" s="5"/>
      <c r="L409" s="4"/>
      <c r="M409" s="4" t="s">
        <v>60</v>
      </c>
      <c r="N409" s="4" t="s">
        <v>36</v>
      </c>
      <c r="O409" s="4" t="s">
        <v>53</v>
      </c>
      <c r="P409" s="4"/>
      <c r="Q409" s="4"/>
      <c r="R409" s="4" t="s">
        <v>1843</v>
      </c>
      <c r="S409" s="4"/>
      <c r="T409" s="4"/>
      <c r="U409" s="4" t="s">
        <v>56</v>
      </c>
      <c r="V409" s="6"/>
      <c r="W409" s="4" t="s">
        <v>57</v>
      </c>
    </row>
    <row r="410" customFormat="false" ht="15" hidden="false" customHeight="false" outlineLevel="0" collapsed="false">
      <c r="A410" s="4" t="s">
        <v>1844</v>
      </c>
      <c r="B410" s="4" t="s">
        <v>1845</v>
      </c>
      <c r="C410" s="4" t="s">
        <v>117</v>
      </c>
      <c r="D410" s="4" t="s">
        <v>1846</v>
      </c>
      <c r="E410" s="4"/>
      <c r="F410" s="4"/>
      <c r="G410" s="4" t="s">
        <v>1823</v>
      </c>
      <c r="H410" s="4" t="s">
        <v>35</v>
      </c>
      <c r="I410" s="4"/>
      <c r="J410" s="5"/>
      <c r="K410" s="5"/>
      <c r="L410" s="4"/>
      <c r="M410" s="4" t="s">
        <v>60</v>
      </c>
      <c r="N410" s="4" t="s">
        <v>36</v>
      </c>
      <c r="O410" s="4" t="s">
        <v>53</v>
      </c>
      <c r="P410" s="4"/>
      <c r="Q410" s="4"/>
      <c r="R410" s="4" t="s">
        <v>1847</v>
      </c>
      <c r="S410" s="4"/>
      <c r="T410" s="4"/>
      <c r="U410" s="4" t="s">
        <v>56</v>
      </c>
      <c r="V410" s="6"/>
      <c r="W410" s="4" t="s">
        <v>57</v>
      </c>
    </row>
    <row r="411" customFormat="false" ht="15" hidden="false" customHeight="false" outlineLevel="0" collapsed="false">
      <c r="A411" s="4" t="s">
        <v>1848</v>
      </c>
      <c r="B411" s="4" t="s">
        <v>1849</v>
      </c>
      <c r="C411" s="4" t="s">
        <v>117</v>
      </c>
      <c r="D411" s="4" t="s">
        <v>1850</v>
      </c>
      <c r="E411" s="4"/>
      <c r="F411" s="4"/>
      <c r="G411" s="4" t="s">
        <v>1823</v>
      </c>
      <c r="H411" s="4" t="s">
        <v>35</v>
      </c>
      <c r="I411" s="4"/>
      <c r="J411" s="5"/>
      <c r="K411" s="5"/>
      <c r="L411" s="4"/>
      <c r="M411" s="4" t="s">
        <v>60</v>
      </c>
      <c r="N411" s="4" t="s">
        <v>36</v>
      </c>
      <c r="O411" s="4" t="s">
        <v>53</v>
      </c>
      <c r="P411" s="4"/>
      <c r="Q411" s="4"/>
      <c r="R411" s="4" t="s">
        <v>1851</v>
      </c>
      <c r="S411" s="4"/>
      <c r="T411" s="4"/>
      <c r="U411" s="4" t="s">
        <v>56</v>
      </c>
      <c r="V411" s="6"/>
      <c r="W411" s="4" t="s">
        <v>57</v>
      </c>
    </row>
    <row r="412" customFormat="false" ht="15" hidden="false" customHeight="false" outlineLevel="0" collapsed="false">
      <c r="A412" s="4" t="s">
        <v>1852</v>
      </c>
      <c r="B412" s="4" t="s">
        <v>1853</v>
      </c>
      <c r="C412" s="4" t="s">
        <v>117</v>
      </c>
      <c r="D412" s="4" t="s">
        <v>1854</v>
      </c>
      <c r="E412" s="4"/>
      <c r="F412" s="4"/>
      <c r="G412" s="4" t="s">
        <v>1823</v>
      </c>
      <c r="H412" s="4" t="s">
        <v>35</v>
      </c>
      <c r="I412" s="4"/>
      <c r="J412" s="5"/>
      <c r="K412" s="5"/>
      <c r="L412" s="4"/>
      <c r="M412" s="4" t="s">
        <v>60</v>
      </c>
      <c r="N412" s="4" t="s">
        <v>36</v>
      </c>
      <c r="O412" s="4" t="s">
        <v>53</v>
      </c>
      <c r="P412" s="4"/>
      <c r="Q412" s="4"/>
      <c r="R412" s="4" t="s">
        <v>1855</v>
      </c>
      <c r="S412" s="4"/>
      <c r="T412" s="4"/>
      <c r="U412" s="4" t="s">
        <v>56</v>
      </c>
      <c r="V412" s="6"/>
      <c r="W412" s="4" t="s">
        <v>57</v>
      </c>
    </row>
    <row r="413" customFormat="false" ht="15" hidden="false" customHeight="false" outlineLevel="0" collapsed="false">
      <c r="A413" s="4" t="s">
        <v>1856</v>
      </c>
      <c r="B413" s="4" t="s">
        <v>1857</v>
      </c>
      <c r="C413" s="4" t="s">
        <v>117</v>
      </c>
      <c r="D413" s="4" t="s">
        <v>1858</v>
      </c>
      <c r="E413" s="4"/>
      <c r="F413" s="4"/>
      <c r="G413" s="4" t="s">
        <v>1823</v>
      </c>
      <c r="H413" s="4" t="s">
        <v>35</v>
      </c>
      <c r="I413" s="4"/>
      <c r="J413" s="5"/>
      <c r="K413" s="5"/>
      <c r="L413" s="4"/>
      <c r="M413" s="4" t="s">
        <v>60</v>
      </c>
      <c r="N413" s="4" t="s">
        <v>36</v>
      </c>
      <c r="O413" s="4" t="s">
        <v>53</v>
      </c>
      <c r="P413" s="4"/>
      <c r="Q413" s="4"/>
      <c r="R413" s="4" t="s">
        <v>1859</v>
      </c>
      <c r="S413" s="4"/>
      <c r="T413" s="4"/>
      <c r="U413" s="4" t="s">
        <v>56</v>
      </c>
      <c r="V413" s="6"/>
      <c r="W413" s="4" t="s">
        <v>57</v>
      </c>
    </row>
    <row r="414" customFormat="false" ht="15" hidden="false" customHeight="false" outlineLevel="0" collapsed="false">
      <c r="A414" s="4" t="s">
        <v>1860</v>
      </c>
      <c r="B414" s="4" t="s">
        <v>1861</v>
      </c>
      <c r="C414" s="4" t="s">
        <v>117</v>
      </c>
      <c r="D414" s="4" t="s">
        <v>1862</v>
      </c>
      <c r="E414" s="4"/>
      <c r="F414" s="4"/>
      <c r="G414" s="4" t="s">
        <v>1823</v>
      </c>
      <c r="H414" s="4" t="s">
        <v>35</v>
      </c>
      <c r="I414" s="4"/>
      <c r="J414" s="5"/>
      <c r="K414" s="5"/>
      <c r="L414" s="4"/>
      <c r="M414" s="4" t="s">
        <v>60</v>
      </c>
      <c r="N414" s="4" t="s">
        <v>36</v>
      </c>
      <c r="O414" s="4" t="s">
        <v>53</v>
      </c>
      <c r="P414" s="4"/>
      <c r="Q414" s="4"/>
      <c r="R414" s="4" t="s">
        <v>1863</v>
      </c>
      <c r="S414" s="4"/>
      <c r="T414" s="4"/>
      <c r="U414" s="4" t="s">
        <v>56</v>
      </c>
      <c r="V414" s="6"/>
      <c r="W414" s="4" t="s">
        <v>57</v>
      </c>
    </row>
    <row r="415" customFormat="false" ht="15" hidden="false" customHeight="false" outlineLevel="0" collapsed="false">
      <c r="A415" s="4" t="s">
        <v>1864</v>
      </c>
      <c r="B415" s="4" t="s">
        <v>1865</v>
      </c>
      <c r="C415" s="4" t="s">
        <v>117</v>
      </c>
      <c r="D415" s="4" t="s">
        <v>1866</v>
      </c>
      <c r="E415" s="4"/>
      <c r="F415" s="4"/>
      <c r="G415" s="4" t="s">
        <v>1867</v>
      </c>
      <c r="H415" s="4" t="s">
        <v>35</v>
      </c>
      <c r="I415" s="4"/>
      <c r="J415" s="5"/>
      <c r="K415" s="5"/>
      <c r="L415" s="4"/>
      <c r="M415" s="4" t="s">
        <v>36</v>
      </c>
      <c r="N415" s="4" t="s">
        <v>36</v>
      </c>
      <c r="O415" s="4" t="s">
        <v>53</v>
      </c>
      <c r="P415" s="4"/>
      <c r="Q415" s="4" t="s">
        <v>1868</v>
      </c>
      <c r="R415" s="4" t="s">
        <v>1869</v>
      </c>
      <c r="S415" s="4"/>
      <c r="T415" s="4"/>
      <c r="U415" s="4" t="s">
        <v>56</v>
      </c>
      <c r="V415" s="6"/>
      <c r="W415" s="4" t="s">
        <v>57</v>
      </c>
    </row>
    <row r="416" customFormat="false" ht="15" hidden="false" customHeight="false" outlineLevel="0" collapsed="false">
      <c r="A416" s="4" t="s">
        <v>1870</v>
      </c>
      <c r="B416" s="4" t="s">
        <v>1871</v>
      </c>
      <c r="C416" s="4" t="s">
        <v>117</v>
      </c>
      <c r="D416" s="4" t="s">
        <v>1872</v>
      </c>
      <c r="E416" s="4"/>
      <c r="F416" s="4"/>
      <c r="G416" s="4" t="s">
        <v>1867</v>
      </c>
      <c r="H416" s="4" t="s">
        <v>35</v>
      </c>
      <c r="I416" s="4"/>
      <c r="J416" s="5"/>
      <c r="K416" s="5"/>
      <c r="L416" s="4"/>
      <c r="M416" s="4" t="s">
        <v>60</v>
      </c>
      <c r="N416" s="4" t="s">
        <v>36</v>
      </c>
      <c r="O416" s="4" t="s">
        <v>53</v>
      </c>
      <c r="P416" s="4"/>
      <c r="Q416" s="4"/>
      <c r="R416" s="4" t="s">
        <v>1873</v>
      </c>
      <c r="S416" s="4"/>
      <c r="T416" s="4"/>
      <c r="U416" s="4" t="s">
        <v>56</v>
      </c>
      <c r="V416" s="6"/>
      <c r="W416" s="4" t="s">
        <v>57</v>
      </c>
    </row>
    <row r="417" customFormat="false" ht="15" hidden="false" customHeight="false" outlineLevel="0" collapsed="false">
      <c r="A417" s="4" t="s">
        <v>1874</v>
      </c>
      <c r="B417" s="4" t="s">
        <v>1875</v>
      </c>
      <c r="C417" s="4" t="s">
        <v>32</v>
      </c>
      <c r="D417" s="4" t="s">
        <v>1876</v>
      </c>
      <c r="E417" s="4"/>
      <c r="F417" s="4"/>
      <c r="G417" s="4" t="s">
        <v>1876</v>
      </c>
      <c r="H417" s="4" t="s">
        <v>35</v>
      </c>
      <c r="I417" s="4"/>
      <c r="J417" s="5"/>
      <c r="K417" s="5"/>
      <c r="L417" s="4"/>
      <c r="M417" s="4" t="s">
        <v>36</v>
      </c>
      <c r="N417" s="4" t="s">
        <v>36</v>
      </c>
      <c r="O417" s="4" t="s">
        <v>53</v>
      </c>
      <c r="P417" s="4"/>
      <c r="Q417" s="4" t="s">
        <v>1877</v>
      </c>
      <c r="R417" s="4" t="s">
        <v>1878</v>
      </c>
      <c r="S417" s="4"/>
      <c r="T417" s="4"/>
      <c r="U417" s="4" t="s">
        <v>56</v>
      </c>
      <c r="V417" s="6"/>
      <c r="W417" s="4" t="s">
        <v>57</v>
      </c>
    </row>
    <row r="418" customFormat="false" ht="15" hidden="false" customHeight="false" outlineLevel="0" collapsed="false">
      <c r="A418" s="4" t="s">
        <v>1879</v>
      </c>
      <c r="B418" s="4" t="s">
        <v>1880</v>
      </c>
      <c r="C418" s="4" t="s">
        <v>117</v>
      </c>
      <c r="D418" s="4" t="s">
        <v>1881</v>
      </c>
      <c r="E418" s="4"/>
      <c r="F418" s="4"/>
      <c r="G418" s="4" t="s">
        <v>1876</v>
      </c>
      <c r="H418" s="4" t="s">
        <v>35</v>
      </c>
      <c r="I418" s="4"/>
      <c r="J418" s="5"/>
      <c r="K418" s="5"/>
      <c r="L418" s="4"/>
      <c r="M418" s="4" t="s">
        <v>60</v>
      </c>
      <c r="N418" s="4" t="s">
        <v>36</v>
      </c>
      <c r="O418" s="4" t="s">
        <v>53</v>
      </c>
      <c r="P418" s="4"/>
      <c r="Q418" s="4"/>
      <c r="R418" s="4" t="s">
        <v>1882</v>
      </c>
      <c r="S418" s="4"/>
      <c r="T418" s="4"/>
      <c r="U418" s="4" t="s">
        <v>56</v>
      </c>
      <c r="V418" s="6"/>
      <c r="W418" s="4" t="s">
        <v>57</v>
      </c>
    </row>
    <row r="419" customFormat="false" ht="15" hidden="false" customHeight="false" outlineLevel="0" collapsed="false">
      <c r="A419" s="4" t="s">
        <v>1883</v>
      </c>
      <c r="B419" s="4" t="s">
        <v>1884</v>
      </c>
      <c r="C419" s="4" t="s">
        <v>117</v>
      </c>
      <c r="D419" s="4" t="s">
        <v>1885</v>
      </c>
      <c r="E419" s="4"/>
      <c r="F419" s="4"/>
      <c r="G419" s="4" t="s">
        <v>1876</v>
      </c>
      <c r="H419" s="4" t="s">
        <v>35</v>
      </c>
      <c r="I419" s="4"/>
      <c r="J419" s="5"/>
      <c r="K419" s="5"/>
      <c r="L419" s="4"/>
      <c r="M419" s="4" t="s">
        <v>60</v>
      </c>
      <c r="N419" s="4" t="s">
        <v>36</v>
      </c>
      <c r="O419" s="4" t="s">
        <v>53</v>
      </c>
      <c r="P419" s="4"/>
      <c r="Q419" s="4"/>
      <c r="R419" s="4" t="s">
        <v>1886</v>
      </c>
      <c r="S419" s="4"/>
      <c r="T419" s="4"/>
      <c r="U419" s="4" t="s">
        <v>56</v>
      </c>
      <c r="V419" s="6"/>
      <c r="W419" s="4" t="s">
        <v>57</v>
      </c>
    </row>
    <row r="420" customFormat="false" ht="15" hidden="false" customHeight="false" outlineLevel="0" collapsed="false">
      <c r="A420" s="4" t="s">
        <v>1887</v>
      </c>
      <c r="B420" s="4" t="s">
        <v>1888</v>
      </c>
      <c r="C420" s="4" t="s">
        <v>117</v>
      </c>
      <c r="D420" s="4" t="s">
        <v>1889</v>
      </c>
      <c r="E420" s="4"/>
      <c r="F420" s="4"/>
      <c r="G420" s="4" t="s">
        <v>1876</v>
      </c>
      <c r="H420" s="4" t="s">
        <v>35</v>
      </c>
      <c r="I420" s="4"/>
      <c r="J420" s="5"/>
      <c r="K420" s="5"/>
      <c r="L420" s="4"/>
      <c r="M420" s="4" t="s">
        <v>60</v>
      </c>
      <c r="N420" s="4" t="s">
        <v>36</v>
      </c>
      <c r="O420" s="4" t="s">
        <v>53</v>
      </c>
      <c r="P420" s="4"/>
      <c r="Q420" s="4"/>
      <c r="R420" s="4" t="s">
        <v>1890</v>
      </c>
      <c r="S420" s="4"/>
      <c r="T420" s="4"/>
      <c r="U420" s="4" t="s">
        <v>56</v>
      </c>
      <c r="V420" s="6"/>
      <c r="W420" s="4" t="s">
        <v>57</v>
      </c>
    </row>
  </sheetData>
  <dataValidations count="7">
    <dataValidation allowBlank="true" errorStyle="stop" operator="between" showDropDown="false" showErrorMessage="false" showInputMessage="false" sqref="C2:C1420" type="list">
      <formula1>"Bus Stand,Bus Terminal,ISBT,Central Bus Terminal,Intercity Bus Stand,State Transport Terminal,Major Bus Stop,Regional Bus Terminal"</formula1>
      <formula2>0</formula2>
    </dataValidation>
    <dataValidation allowBlank="true" errorStyle="stop" operator="between" showDropDown="false" showErrorMessage="false" showInputMessage="false" sqref="M2:M1420" type="list">
      <formula1>"Y,N"</formula1>
      <formula2>0</formula2>
    </dataValidation>
    <dataValidation allowBlank="true" errorStyle="stop" operator="between" showDropDown="false" showErrorMessage="false" showInputMessage="false" sqref="N2:N1420" type="list">
      <formula1>"Y,N"</formula1>
      <formula2>0</formula2>
    </dataValidation>
    <dataValidation allowBlank="true" errorStyle="stop" operator="between" showDropDown="false" showErrorMessage="false" showInputMessage="false" sqref="O2:O1420" type="list">
      <formula1>"Y,N,Unknown"</formula1>
      <formula2>0</formula2>
    </dataValidation>
    <dataValidation allowBlank="true" errorStyle="stop" operator="between" showDropDown="false" showErrorMessage="false" showInputMessage="false" sqref="U2:U1420" type="list">
      <formula1>"Verified,Partially Verified,Needs Verification"</formula1>
      <formula2>0</formula2>
    </dataValidation>
    <dataValidation allowBlank="true" errorStyle="stop" operator="between" showDropDown="false" showErrorMessage="false" showInputMessage="false" sqref="J2:J1420" type="decimal">
      <formula1>6</formula1>
      <formula2>38</formula2>
    </dataValidation>
    <dataValidation allowBlank="true" errorStyle="stop" operator="between" showDropDown="false" showErrorMessage="false" showInputMessage="false" sqref="K2:K1420" type="decimal">
      <formula1>68</formula1>
      <formula2>98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3" t="s">
        <v>1891</v>
      </c>
      <c r="B1" s="3" t="s">
        <v>1892</v>
      </c>
      <c r="C1" s="3" t="s">
        <v>11</v>
      </c>
      <c r="D1" s="3" t="s">
        <v>12</v>
      </c>
      <c r="E1" s="3" t="s">
        <v>13</v>
      </c>
      <c r="F1" s="3" t="s">
        <v>16</v>
      </c>
      <c r="G1" s="3" t="s">
        <v>17</v>
      </c>
      <c r="H1" s="3" t="s">
        <v>1893</v>
      </c>
      <c r="I1" s="3" t="s">
        <v>1894</v>
      </c>
      <c r="J1" s="3" t="s">
        <v>1895</v>
      </c>
      <c r="K1" s="3" t="s">
        <v>23</v>
      </c>
      <c r="L1" s="3" t="s">
        <v>25</v>
      </c>
    </row>
    <row r="2" customFormat="false" ht="15" hidden="false" customHeight="false" outlineLevel="0" collapsed="false">
      <c r="A2" s="4" t="s">
        <v>1896</v>
      </c>
      <c r="B2" s="4" t="s">
        <v>127</v>
      </c>
      <c r="C2" s="4"/>
      <c r="D2" s="4" t="s">
        <v>34</v>
      </c>
      <c r="E2" s="4"/>
      <c r="F2" s="4"/>
      <c r="G2" s="4"/>
      <c r="H2" s="4" t="s">
        <v>60</v>
      </c>
      <c r="I2" s="4" t="s">
        <v>60</v>
      </c>
      <c r="J2" s="4" t="s">
        <v>1897</v>
      </c>
      <c r="K2" s="4"/>
      <c r="L2" s="4"/>
    </row>
    <row r="3" customFormat="false" ht="15" hidden="false" customHeight="false" outlineLevel="0" collapsed="false">
      <c r="A3" s="4" t="s">
        <v>1898</v>
      </c>
      <c r="B3" s="4" t="s">
        <v>212</v>
      </c>
      <c r="C3" s="4"/>
      <c r="D3" s="4" t="s">
        <v>34</v>
      </c>
      <c r="E3" s="4"/>
      <c r="F3" s="4"/>
      <c r="G3" s="4"/>
      <c r="H3" s="4" t="s">
        <v>60</v>
      </c>
      <c r="I3" s="4" t="s">
        <v>60</v>
      </c>
      <c r="J3" s="4" t="s">
        <v>1899</v>
      </c>
      <c r="K3" s="4"/>
      <c r="L3" s="4"/>
    </row>
    <row r="4" customFormat="false" ht="15" hidden="false" customHeight="false" outlineLevel="0" collapsed="false">
      <c r="A4" s="4" t="s">
        <v>1900</v>
      </c>
      <c r="B4" s="4" t="s">
        <v>160</v>
      </c>
      <c r="C4" s="4"/>
      <c r="D4" s="4" t="s">
        <v>34</v>
      </c>
      <c r="E4" s="4"/>
      <c r="F4" s="4"/>
      <c r="G4" s="4"/>
      <c r="H4" s="4" t="s">
        <v>36</v>
      </c>
      <c r="I4" s="4" t="s">
        <v>36</v>
      </c>
      <c r="J4" s="4" t="s">
        <v>1901</v>
      </c>
      <c r="K4" s="4"/>
      <c r="L4" s="4"/>
    </row>
    <row r="5" customFormat="false" ht="15" hidden="false" customHeight="false" outlineLevel="0" collapsed="false">
      <c r="A5" s="4" t="s">
        <v>1902</v>
      </c>
      <c r="B5" s="4" t="s">
        <v>141</v>
      </c>
      <c r="C5" s="4"/>
      <c r="D5" s="4" t="s">
        <v>34</v>
      </c>
      <c r="E5" s="4"/>
      <c r="F5" s="4"/>
      <c r="G5" s="4"/>
      <c r="H5" s="4" t="s">
        <v>60</v>
      </c>
      <c r="I5" s="4" t="s">
        <v>60</v>
      </c>
      <c r="J5" s="4" t="s">
        <v>1903</v>
      </c>
      <c r="K5" s="4"/>
      <c r="L5" s="4"/>
    </row>
    <row r="6" customFormat="false" ht="15" hidden="false" customHeight="false" outlineLevel="0" collapsed="false">
      <c r="A6" s="4" t="s">
        <v>1904</v>
      </c>
      <c r="B6" s="4" t="s">
        <v>200</v>
      </c>
      <c r="C6" s="4"/>
      <c r="D6" s="4" t="s">
        <v>34</v>
      </c>
      <c r="E6" s="4"/>
      <c r="F6" s="4"/>
      <c r="G6" s="4"/>
      <c r="H6" s="4" t="s">
        <v>60</v>
      </c>
      <c r="I6" s="4" t="s">
        <v>60</v>
      </c>
      <c r="J6" s="4" t="s">
        <v>1905</v>
      </c>
      <c r="K6" s="4"/>
      <c r="L6" s="4"/>
    </row>
    <row r="7" customFormat="false" ht="15" hidden="false" customHeight="false" outlineLevel="0" collapsed="false">
      <c r="A7" s="4" t="s">
        <v>1906</v>
      </c>
      <c r="B7" s="4" t="s">
        <v>248</v>
      </c>
      <c r="C7" s="4"/>
      <c r="D7" s="4" t="s">
        <v>34</v>
      </c>
      <c r="E7" s="4"/>
      <c r="F7" s="4"/>
      <c r="G7" s="4"/>
      <c r="H7" s="4" t="s">
        <v>60</v>
      </c>
      <c r="I7" s="4" t="s">
        <v>60</v>
      </c>
      <c r="J7" s="4" t="s">
        <v>1907</v>
      </c>
      <c r="K7" s="4"/>
      <c r="L7" s="4"/>
    </row>
    <row r="8" customFormat="false" ht="15" hidden="false" customHeight="false" outlineLevel="0" collapsed="false">
      <c r="A8" s="4" t="s">
        <v>1908</v>
      </c>
      <c r="B8" s="4" t="s">
        <v>169</v>
      </c>
      <c r="C8" s="4"/>
      <c r="D8" s="4" t="s">
        <v>34</v>
      </c>
      <c r="E8" s="4"/>
      <c r="F8" s="4"/>
      <c r="G8" s="4"/>
      <c r="H8" s="4" t="s">
        <v>36</v>
      </c>
      <c r="I8" s="4" t="s">
        <v>36</v>
      </c>
      <c r="J8" s="4" t="s">
        <v>1909</v>
      </c>
      <c r="K8" s="4" t="s">
        <v>1910</v>
      </c>
      <c r="L8" s="4"/>
    </row>
    <row r="9" customFormat="false" ht="15" hidden="false" customHeight="false" outlineLevel="0" collapsed="false">
      <c r="A9" s="4" t="s">
        <v>1911</v>
      </c>
      <c r="B9" s="4" t="s">
        <v>244</v>
      </c>
      <c r="C9" s="4"/>
      <c r="D9" s="4" t="s">
        <v>34</v>
      </c>
      <c r="E9" s="4"/>
      <c r="F9" s="4"/>
      <c r="G9" s="4"/>
      <c r="H9" s="4" t="s">
        <v>60</v>
      </c>
      <c r="I9" s="4" t="s">
        <v>60</v>
      </c>
      <c r="J9" s="4" t="s">
        <v>1912</v>
      </c>
      <c r="K9" s="4"/>
      <c r="L9" s="4"/>
    </row>
    <row r="10" customFormat="false" ht="15" hidden="false" customHeight="false" outlineLevel="0" collapsed="false">
      <c r="A10" s="4" t="s">
        <v>1913</v>
      </c>
      <c r="B10" s="4" t="s">
        <v>230</v>
      </c>
      <c r="C10" s="4"/>
      <c r="D10" s="4" t="s">
        <v>34</v>
      </c>
      <c r="E10" s="4"/>
      <c r="F10" s="4"/>
      <c r="G10" s="4"/>
      <c r="H10" s="4" t="s">
        <v>60</v>
      </c>
      <c r="I10" s="4" t="s">
        <v>36</v>
      </c>
      <c r="J10" s="4" t="s">
        <v>1914</v>
      </c>
      <c r="K10" s="4" t="s">
        <v>1915</v>
      </c>
      <c r="L10" s="4"/>
    </row>
    <row r="11" customFormat="false" ht="15" hidden="false" customHeight="false" outlineLevel="0" collapsed="false">
      <c r="A11" s="4" t="s">
        <v>1916</v>
      </c>
      <c r="B11" s="4" t="s">
        <v>204</v>
      </c>
      <c r="C11" s="4"/>
      <c r="D11" s="4" t="s">
        <v>34</v>
      </c>
      <c r="E11" s="4"/>
      <c r="F11" s="4"/>
      <c r="G11" s="4"/>
      <c r="H11" s="4" t="s">
        <v>60</v>
      </c>
      <c r="I11" s="4" t="s">
        <v>60</v>
      </c>
      <c r="J11" s="4" t="s">
        <v>1917</v>
      </c>
      <c r="K11" s="4"/>
      <c r="L11" s="4"/>
    </row>
    <row r="12" customFormat="false" ht="15" hidden="false" customHeight="false" outlineLevel="0" collapsed="false">
      <c r="A12" s="4" t="s">
        <v>1918</v>
      </c>
      <c r="B12" s="4" t="s">
        <v>174</v>
      </c>
      <c r="C12" s="4"/>
      <c r="D12" s="4" t="s">
        <v>34</v>
      </c>
      <c r="E12" s="4"/>
      <c r="F12" s="4"/>
      <c r="G12" s="4"/>
      <c r="H12" s="4" t="s">
        <v>60</v>
      </c>
      <c r="I12" s="4" t="s">
        <v>60</v>
      </c>
      <c r="J12" s="4" t="s">
        <v>1919</v>
      </c>
      <c r="K12" s="4"/>
      <c r="L12" s="4"/>
    </row>
    <row r="13" customFormat="false" ht="15" hidden="false" customHeight="false" outlineLevel="0" collapsed="false">
      <c r="A13" s="4" t="s">
        <v>1920</v>
      </c>
      <c r="B13" s="4" t="s">
        <v>122</v>
      </c>
      <c r="C13" s="4"/>
      <c r="D13" s="4" t="s">
        <v>34</v>
      </c>
      <c r="E13" s="4"/>
      <c r="F13" s="4"/>
      <c r="G13" s="4"/>
      <c r="H13" s="4" t="s">
        <v>60</v>
      </c>
      <c r="I13" s="4" t="s">
        <v>60</v>
      </c>
      <c r="J13" s="4" t="s">
        <v>1921</v>
      </c>
      <c r="K13" s="4"/>
      <c r="L13" s="4"/>
    </row>
    <row r="14" customFormat="false" ht="15" hidden="false" customHeight="false" outlineLevel="0" collapsed="false">
      <c r="A14" s="4" t="s">
        <v>1922</v>
      </c>
      <c r="B14" s="4" t="s">
        <v>145</v>
      </c>
      <c r="C14" s="4"/>
      <c r="D14" s="4" t="s">
        <v>34</v>
      </c>
      <c r="E14" s="4"/>
      <c r="F14" s="4"/>
      <c r="G14" s="4"/>
      <c r="H14" s="4" t="s">
        <v>60</v>
      </c>
      <c r="I14" s="4" t="s">
        <v>60</v>
      </c>
      <c r="J14" s="4" t="s">
        <v>1923</v>
      </c>
      <c r="K14" s="4"/>
      <c r="L14" s="4"/>
    </row>
    <row r="15" customFormat="false" ht="15" hidden="false" customHeight="false" outlineLevel="0" collapsed="false">
      <c r="A15" s="4" t="s">
        <v>1924</v>
      </c>
      <c r="B15" s="4" t="s">
        <v>256</v>
      </c>
      <c r="C15" s="4"/>
      <c r="D15" s="4" t="s">
        <v>34</v>
      </c>
      <c r="E15" s="4"/>
      <c r="F15" s="4"/>
      <c r="G15" s="4"/>
      <c r="H15" s="4" t="s">
        <v>60</v>
      </c>
      <c r="I15" s="4" t="s">
        <v>60</v>
      </c>
      <c r="J15" s="4" t="s">
        <v>1925</v>
      </c>
      <c r="K15" s="4"/>
      <c r="L15" s="4"/>
    </row>
    <row r="16" customFormat="false" ht="15" hidden="false" customHeight="false" outlineLevel="0" collapsed="false">
      <c r="A16" s="4" t="s">
        <v>1926</v>
      </c>
      <c r="B16" s="4" t="s">
        <v>217</v>
      </c>
      <c r="C16" s="4"/>
      <c r="D16" s="4" t="s">
        <v>34</v>
      </c>
      <c r="E16" s="4"/>
      <c r="F16" s="4"/>
      <c r="G16" s="4"/>
      <c r="H16" s="4" t="s">
        <v>60</v>
      </c>
      <c r="I16" s="4" t="s">
        <v>60</v>
      </c>
      <c r="J16" s="4" t="s">
        <v>1927</v>
      </c>
      <c r="K16" s="4"/>
      <c r="L16" s="4"/>
    </row>
    <row r="17" customFormat="false" ht="15" hidden="false" customHeight="false" outlineLevel="0" collapsed="false">
      <c r="A17" s="4" t="s">
        <v>1928</v>
      </c>
      <c r="B17" s="4" t="s">
        <v>155</v>
      </c>
      <c r="C17" s="4"/>
      <c r="D17" s="4" t="s">
        <v>34</v>
      </c>
      <c r="E17" s="4"/>
      <c r="F17" s="4"/>
      <c r="G17" s="4"/>
      <c r="H17" s="4" t="s">
        <v>36</v>
      </c>
      <c r="I17" s="4" t="s">
        <v>36</v>
      </c>
      <c r="J17" s="4" t="s">
        <v>1929</v>
      </c>
      <c r="K17" s="4"/>
      <c r="L17" s="4"/>
    </row>
    <row r="18" customFormat="false" ht="15" hidden="false" customHeight="false" outlineLevel="0" collapsed="false">
      <c r="A18" s="4" t="s">
        <v>1930</v>
      </c>
      <c r="B18" s="4" t="s">
        <v>222</v>
      </c>
      <c r="C18" s="4"/>
      <c r="D18" s="4" t="s">
        <v>34</v>
      </c>
      <c r="E18" s="4"/>
      <c r="F18" s="4"/>
      <c r="G18" s="4"/>
      <c r="H18" s="4" t="s">
        <v>60</v>
      </c>
      <c r="I18" s="4" t="s">
        <v>60</v>
      </c>
      <c r="J18" s="4" t="s">
        <v>1931</v>
      </c>
      <c r="K18" s="4"/>
      <c r="L18" s="4"/>
    </row>
    <row r="19" customFormat="false" ht="15" hidden="false" customHeight="false" outlineLevel="0" collapsed="false">
      <c r="A19" s="4" t="s">
        <v>1932</v>
      </c>
      <c r="B19" s="4" t="s">
        <v>92</v>
      </c>
      <c r="C19" s="4"/>
      <c r="D19" s="4" t="s">
        <v>34</v>
      </c>
      <c r="E19" s="4"/>
      <c r="F19" s="4"/>
      <c r="G19" s="4"/>
      <c r="H19" s="4" t="s">
        <v>36</v>
      </c>
      <c r="I19" s="4" t="s">
        <v>60</v>
      </c>
      <c r="J19" s="4" t="s">
        <v>1933</v>
      </c>
      <c r="K19" s="4"/>
      <c r="L19" s="4"/>
    </row>
    <row r="20" customFormat="false" ht="15" hidden="false" customHeight="false" outlineLevel="0" collapsed="false">
      <c r="A20" s="4" t="s">
        <v>1934</v>
      </c>
      <c r="B20" s="4" t="s">
        <v>118</v>
      </c>
      <c r="C20" s="4"/>
      <c r="D20" s="4" t="s">
        <v>34</v>
      </c>
      <c r="E20" s="4"/>
      <c r="F20" s="4"/>
      <c r="G20" s="4"/>
      <c r="H20" s="4" t="s">
        <v>60</v>
      </c>
      <c r="I20" s="4" t="s">
        <v>60</v>
      </c>
      <c r="J20" s="4" t="s">
        <v>1935</v>
      </c>
      <c r="K20" s="4"/>
      <c r="L20" s="4"/>
    </row>
    <row r="21" customFormat="false" ht="15" hidden="false" customHeight="false" outlineLevel="0" collapsed="false">
      <c r="A21" s="4" t="s">
        <v>1936</v>
      </c>
      <c r="B21" s="4" t="s">
        <v>196</v>
      </c>
      <c r="C21" s="4"/>
      <c r="D21" s="4" t="s">
        <v>34</v>
      </c>
      <c r="E21" s="4"/>
      <c r="F21" s="4"/>
      <c r="G21" s="4"/>
      <c r="H21" s="4" t="s">
        <v>60</v>
      </c>
      <c r="I21" s="4" t="s">
        <v>60</v>
      </c>
      <c r="J21" s="4" t="s">
        <v>1937</v>
      </c>
      <c r="K21" s="4"/>
      <c r="L21" s="4"/>
    </row>
    <row r="22" customFormat="false" ht="15" hidden="false" customHeight="false" outlineLevel="0" collapsed="false">
      <c r="A22" s="4" t="s">
        <v>1938</v>
      </c>
      <c r="B22" s="4" t="s">
        <v>150</v>
      </c>
      <c r="C22" s="4"/>
      <c r="D22" s="4" t="s">
        <v>34</v>
      </c>
      <c r="E22" s="4"/>
      <c r="F22" s="4"/>
      <c r="G22" s="4"/>
      <c r="H22" s="4" t="s">
        <v>60</v>
      </c>
      <c r="I22" s="4" t="s">
        <v>60</v>
      </c>
      <c r="J22" s="4" t="s">
        <v>1939</v>
      </c>
      <c r="K22" s="4"/>
      <c r="L22" s="4"/>
    </row>
    <row r="23" customFormat="false" ht="15" hidden="false" customHeight="false" outlineLevel="0" collapsed="false">
      <c r="A23" s="4" t="s">
        <v>1940</v>
      </c>
      <c r="B23" s="4" t="s">
        <v>252</v>
      </c>
      <c r="C23" s="4"/>
      <c r="D23" s="4" t="s">
        <v>34</v>
      </c>
      <c r="E23" s="4"/>
      <c r="F23" s="4"/>
      <c r="G23" s="4"/>
      <c r="H23" s="4" t="s">
        <v>60</v>
      </c>
      <c r="I23" s="4" t="s">
        <v>60</v>
      </c>
      <c r="J23" s="4" t="s">
        <v>1941</v>
      </c>
      <c r="K23" s="4"/>
      <c r="L23" s="4"/>
    </row>
    <row r="24" customFormat="false" ht="15" hidden="false" customHeight="false" outlineLevel="0" collapsed="false">
      <c r="A24" s="4" t="s">
        <v>1942</v>
      </c>
      <c r="B24" s="4" t="s">
        <v>187</v>
      </c>
      <c r="C24" s="4"/>
      <c r="D24" s="4" t="s">
        <v>34</v>
      </c>
      <c r="E24" s="4"/>
      <c r="F24" s="4"/>
      <c r="G24" s="4"/>
      <c r="H24" s="4" t="s">
        <v>60</v>
      </c>
      <c r="I24" s="4" t="s">
        <v>60</v>
      </c>
      <c r="J24" s="4" t="s">
        <v>1943</v>
      </c>
      <c r="K24" s="4"/>
      <c r="L24" s="4"/>
    </row>
    <row r="25" customFormat="false" ht="15" hidden="false" customHeight="false" outlineLevel="0" collapsed="false">
      <c r="A25" s="4" t="s">
        <v>1944</v>
      </c>
      <c r="B25" s="4" t="s">
        <v>33</v>
      </c>
      <c r="C25" s="4"/>
      <c r="D25" s="4" t="s">
        <v>34</v>
      </c>
      <c r="E25" s="4"/>
      <c r="F25" s="4"/>
      <c r="G25" s="4"/>
      <c r="H25" s="4" t="s">
        <v>36</v>
      </c>
      <c r="I25" s="4" t="s">
        <v>36</v>
      </c>
      <c r="J25" s="4" t="s">
        <v>1945</v>
      </c>
      <c r="K25" s="4" t="s">
        <v>1946</v>
      </c>
      <c r="L25" s="4"/>
    </row>
    <row r="26" customFormat="false" ht="15" hidden="false" customHeight="false" outlineLevel="0" collapsed="false">
      <c r="A26" s="4" t="s">
        <v>1947</v>
      </c>
      <c r="B26" s="4" t="s">
        <v>235</v>
      </c>
      <c r="C26" s="4"/>
      <c r="D26" s="4" t="s">
        <v>34</v>
      </c>
      <c r="E26" s="4"/>
      <c r="F26" s="4"/>
      <c r="G26" s="4"/>
      <c r="H26" s="4" t="s">
        <v>60</v>
      </c>
      <c r="I26" s="4" t="s">
        <v>60</v>
      </c>
      <c r="J26" s="4" t="s">
        <v>1948</v>
      </c>
      <c r="K26" s="4"/>
      <c r="L26" s="4"/>
    </row>
    <row r="27" customFormat="false" ht="15" hidden="false" customHeight="false" outlineLevel="0" collapsed="false">
      <c r="A27" s="4" t="s">
        <v>1949</v>
      </c>
      <c r="B27" s="4" t="s">
        <v>131</v>
      </c>
      <c r="C27" s="4"/>
      <c r="D27" s="4" t="s">
        <v>34</v>
      </c>
      <c r="E27" s="4"/>
      <c r="F27" s="4"/>
      <c r="G27" s="4"/>
      <c r="H27" s="4" t="s">
        <v>60</v>
      </c>
      <c r="I27" s="4" t="s">
        <v>60</v>
      </c>
      <c r="J27" s="4" t="s">
        <v>1950</v>
      </c>
      <c r="K27" s="4"/>
      <c r="L27" s="4"/>
    </row>
    <row r="28" customFormat="false" ht="15" hidden="false" customHeight="false" outlineLevel="0" collapsed="false">
      <c r="A28" s="4" t="s">
        <v>1951</v>
      </c>
      <c r="B28" s="4" t="s">
        <v>239</v>
      </c>
      <c r="C28" s="4"/>
      <c r="D28" s="4" t="s">
        <v>34</v>
      </c>
      <c r="E28" s="4"/>
      <c r="F28" s="4"/>
      <c r="G28" s="4"/>
      <c r="H28" s="4" t="s">
        <v>60</v>
      </c>
      <c r="I28" s="4" t="s">
        <v>60</v>
      </c>
      <c r="J28" s="4" t="s">
        <v>1952</v>
      </c>
      <c r="K28" s="4"/>
      <c r="L28" s="4"/>
    </row>
    <row r="29" customFormat="false" ht="15" hidden="false" customHeight="false" outlineLevel="0" collapsed="false">
      <c r="A29" s="4" t="s">
        <v>1953</v>
      </c>
      <c r="B29" s="4" t="s">
        <v>191</v>
      </c>
      <c r="C29" s="4"/>
      <c r="D29" s="4" t="s">
        <v>34</v>
      </c>
      <c r="E29" s="4"/>
      <c r="F29" s="4"/>
      <c r="G29" s="4"/>
      <c r="H29" s="4" t="s">
        <v>60</v>
      </c>
      <c r="I29" s="4" t="s">
        <v>60</v>
      </c>
      <c r="J29" s="4" t="s">
        <v>1954</v>
      </c>
      <c r="K29" s="4" t="s">
        <v>1955</v>
      </c>
      <c r="L29" s="4"/>
    </row>
    <row r="30" customFormat="false" ht="15" hidden="false" customHeight="false" outlineLevel="0" collapsed="false">
      <c r="A30" s="4" t="s">
        <v>1956</v>
      </c>
      <c r="B30" s="4" t="s">
        <v>208</v>
      </c>
      <c r="C30" s="4"/>
      <c r="D30" s="4" t="s">
        <v>34</v>
      </c>
      <c r="E30" s="4"/>
      <c r="F30" s="4"/>
      <c r="G30" s="4"/>
      <c r="H30" s="4" t="s">
        <v>60</v>
      </c>
      <c r="I30" s="4" t="s">
        <v>60</v>
      </c>
      <c r="J30" s="4" t="s">
        <v>1957</v>
      </c>
      <c r="K30" s="4"/>
      <c r="L30" s="4"/>
    </row>
    <row r="31" customFormat="false" ht="15" hidden="false" customHeight="false" outlineLevel="0" collapsed="false">
      <c r="A31" s="4" t="s">
        <v>1958</v>
      </c>
      <c r="B31" s="4" t="s">
        <v>136</v>
      </c>
      <c r="C31" s="4"/>
      <c r="D31" s="4" t="s">
        <v>34</v>
      </c>
      <c r="E31" s="4"/>
      <c r="F31" s="4"/>
      <c r="G31" s="4"/>
      <c r="H31" s="4" t="s">
        <v>60</v>
      </c>
      <c r="I31" s="4" t="s">
        <v>60</v>
      </c>
      <c r="J31" s="4" t="s">
        <v>1959</v>
      </c>
      <c r="K31" s="4"/>
      <c r="L31" s="4"/>
    </row>
    <row r="32" customFormat="false" ht="15" hidden="false" customHeight="false" outlineLevel="0" collapsed="false">
      <c r="A32" s="4" t="s">
        <v>1960</v>
      </c>
      <c r="B32" s="4" t="s">
        <v>183</v>
      </c>
      <c r="C32" s="4"/>
      <c r="D32" s="4" t="s">
        <v>34</v>
      </c>
      <c r="E32" s="4"/>
      <c r="F32" s="4"/>
      <c r="G32" s="4"/>
      <c r="H32" s="4" t="s">
        <v>60</v>
      </c>
      <c r="I32" s="4" t="s">
        <v>60</v>
      </c>
      <c r="J32" s="4" t="s">
        <v>1961</v>
      </c>
      <c r="K32" s="4"/>
      <c r="L32" s="4"/>
    </row>
    <row r="33" customFormat="false" ht="15" hidden="false" customHeight="false" outlineLevel="0" collapsed="false">
      <c r="A33" s="4" t="s">
        <v>1962</v>
      </c>
      <c r="B33" s="4" t="s">
        <v>165</v>
      </c>
      <c r="C33" s="4"/>
      <c r="D33" s="4" t="s">
        <v>34</v>
      </c>
      <c r="E33" s="4"/>
      <c r="F33" s="4"/>
      <c r="G33" s="4"/>
      <c r="H33" s="4" t="s">
        <v>60</v>
      </c>
      <c r="I33" s="4" t="s">
        <v>60</v>
      </c>
      <c r="J33" s="4" t="s">
        <v>1963</v>
      </c>
      <c r="K33" s="4"/>
      <c r="L33" s="4"/>
    </row>
    <row r="34" customFormat="false" ht="15" hidden="false" customHeight="false" outlineLevel="0" collapsed="false">
      <c r="A34" s="4" t="s">
        <v>1964</v>
      </c>
      <c r="B34" s="4" t="s">
        <v>112</v>
      </c>
      <c r="C34" s="4"/>
      <c r="D34" s="4" t="s">
        <v>34</v>
      </c>
      <c r="E34" s="4"/>
      <c r="F34" s="4"/>
      <c r="G34" s="4"/>
      <c r="H34" s="4" t="s">
        <v>36</v>
      </c>
      <c r="I34" s="4" t="s">
        <v>36</v>
      </c>
      <c r="J34" s="4" t="s">
        <v>1965</v>
      </c>
      <c r="K34" s="4"/>
      <c r="L34" s="4"/>
    </row>
    <row r="35" customFormat="false" ht="15" hidden="false" customHeight="false" outlineLevel="0" collapsed="false">
      <c r="A35" s="4" t="s">
        <v>1966</v>
      </c>
      <c r="B35" s="4" t="s">
        <v>179</v>
      </c>
      <c r="C35" s="4"/>
      <c r="D35" s="4" t="s">
        <v>34</v>
      </c>
      <c r="E35" s="4"/>
      <c r="F35" s="4"/>
      <c r="G35" s="4"/>
      <c r="H35" s="4" t="s">
        <v>60</v>
      </c>
      <c r="I35" s="4" t="s">
        <v>60</v>
      </c>
      <c r="J35" s="4" t="s">
        <v>1967</v>
      </c>
      <c r="K35" s="4"/>
      <c r="L35" s="4"/>
    </row>
    <row r="36" customFormat="false" ht="15" hidden="false" customHeight="false" outlineLevel="0" collapsed="false">
      <c r="A36" s="4" t="s">
        <v>1968</v>
      </c>
      <c r="B36" s="4" t="s">
        <v>226</v>
      </c>
      <c r="C36" s="4"/>
      <c r="D36" s="4" t="s">
        <v>34</v>
      </c>
      <c r="E36" s="4"/>
      <c r="F36" s="4"/>
      <c r="G36" s="4"/>
      <c r="H36" s="4" t="s">
        <v>60</v>
      </c>
      <c r="I36" s="4" t="s">
        <v>60</v>
      </c>
      <c r="J36" s="4" t="s">
        <v>1969</v>
      </c>
      <c r="K36" s="4"/>
      <c r="L36" s="4"/>
    </row>
    <row r="37" customFormat="false" ht="15" hidden="false" customHeight="false" outlineLevel="0" collapsed="false">
      <c r="A37" s="4" t="s">
        <v>1970</v>
      </c>
      <c r="B37" s="4" t="s">
        <v>304</v>
      </c>
      <c r="C37" s="4"/>
      <c r="D37" s="4" t="s">
        <v>261</v>
      </c>
      <c r="E37" s="4"/>
      <c r="F37" s="4"/>
      <c r="G37" s="4"/>
      <c r="H37" s="4" t="s">
        <v>60</v>
      </c>
      <c r="I37" s="4" t="s">
        <v>60</v>
      </c>
      <c r="J37" s="4" t="s">
        <v>1971</v>
      </c>
      <c r="K37" s="4"/>
      <c r="L37" s="4"/>
    </row>
    <row r="38" customFormat="false" ht="15" hidden="false" customHeight="false" outlineLevel="0" collapsed="false">
      <c r="A38" s="4" t="s">
        <v>1972</v>
      </c>
      <c r="B38" s="4" t="s">
        <v>271</v>
      </c>
      <c r="C38" s="4"/>
      <c r="D38" s="4" t="s">
        <v>261</v>
      </c>
      <c r="E38" s="4"/>
      <c r="F38" s="4"/>
      <c r="G38" s="4"/>
      <c r="H38" s="4" t="s">
        <v>36</v>
      </c>
      <c r="I38" s="4" t="s">
        <v>36</v>
      </c>
      <c r="J38" s="4" t="s">
        <v>1973</v>
      </c>
      <c r="K38" s="4"/>
      <c r="L38" s="4"/>
    </row>
    <row r="39" customFormat="false" ht="15" hidden="false" customHeight="false" outlineLevel="0" collapsed="false">
      <c r="A39" s="4" t="s">
        <v>1974</v>
      </c>
      <c r="B39" s="4" t="s">
        <v>300</v>
      </c>
      <c r="C39" s="4"/>
      <c r="D39" s="4" t="s">
        <v>261</v>
      </c>
      <c r="E39" s="4"/>
      <c r="F39" s="4"/>
      <c r="G39" s="4"/>
      <c r="H39" s="4" t="s">
        <v>60</v>
      </c>
      <c r="I39" s="4" t="s">
        <v>60</v>
      </c>
      <c r="J39" s="4" t="s">
        <v>1975</v>
      </c>
      <c r="K39" s="4"/>
      <c r="L39" s="4"/>
    </row>
    <row r="40" customFormat="false" ht="15" hidden="false" customHeight="false" outlineLevel="0" collapsed="false">
      <c r="A40" s="4" t="s">
        <v>1976</v>
      </c>
      <c r="B40" s="4" t="s">
        <v>288</v>
      </c>
      <c r="C40" s="4"/>
      <c r="D40" s="4" t="s">
        <v>261</v>
      </c>
      <c r="E40" s="4"/>
      <c r="F40" s="4"/>
      <c r="G40" s="4"/>
      <c r="H40" s="4" t="s">
        <v>60</v>
      </c>
      <c r="I40" s="4" t="s">
        <v>60</v>
      </c>
      <c r="J40" s="4" t="s">
        <v>1977</v>
      </c>
      <c r="K40" s="4"/>
      <c r="L40" s="4"/>
    </row>
    <row r="41" customFormat="false" ht="15" hidden="false" customHeight="false" outlineLevel="0" collapsed="false">
      <c r="A41" s="4" t="s">
        <v>1978</v>
      </c>
      <c r="B41" s="4" t="s">
        <v>296</v>
      </c>
      <c r="C41" s="4"/>
      <c r="D41" s="4" t="s">
        <v>261</v>
      </c>
      <c r="E41" s="4"/>
      <c r="F41" s="4"/>
      <c r="G41" s="4"/>
      <c r="H41" s="4" t="s">
        <v>60</v>
      </c>
      <c r="I41" s="4" t="s">
        <v>60</v>
      </c>
      <c r="J41" s="4" t="s">
        <v>1979</v>
      </c>
      <c r="K41" s="4"/>
      <c r="L41" s="4"/>
    </row>
    <row r="42" customFormat="false" ht="15" hidden="false" customHeight="false" outlineLevel="0" collapsed="false">
      <c r="A42" s="4" t="s">
        <v>1980</v>
      </c>
      <c r="B42" s="4" t="s">
        <v>316</v>
      </c>
      <c r="C42" s="4"/>
      <c r="D42" s="4" t="s">
        <v>261</v>
      </c>
      <c r="E42" s="4"/>
      <c r="F42" s="4"/>
      <c r="G42" s="4"/>
      <c r="H42" s="4" t="s">
        <v>60</v>
      </c>
      <c r="I42" s="4" t="s">
        <v>60</v>
      </c>
      <c r="J42" s="4" t="s">
        <v>1981</v>
      </c>
      <c r="K42" s="4"/>
      <c r="L42" s="4"/>
    </row>
    <row r="43" customFormat="false" ht="15" hidden="false" customHeight="false" outlineLevel="0" collapsed="false">
      <c r="A43" s="4" t="s">
        <v>1982</v>
      </c>
      <c r="B43" s="4" t="s">
        <v>292</v>
      </c>
      <c r="C43" s="4"/>
      <c r="D43" s="4" t="s">
        <v>261</v>
      </c>
      <c r="E43" s="4"/>
      <c r="F43" s="4"/>
      <c r="G43" s="4"/>
      <c r="H43" s="4" t="s">
        <v>60</v>
      </c>
      <c r="I43" s="4" t="s">
        <v>60</v>
      </c>
      <c r="J43" s="4" t="s">
        <v>1983</v>
      </c>
      <c r="K43" s="4"/>
      <c r="L43" s="4"/>
    </row>
    <row r="44" customFormat="false" ht="15" hidden="false" customHeight="false" outlineLevel="0" collapsed="false">
      <c r="A44" s="4" t="s">
        <v>1984</v>
      </c>
      <c r="B44" s="4" t="s">
        <v>308</v>
      </c>
      <c r="C44" s="4"/>
      <c r="D44" s="4" t="s">
        <v>261</v>
      </c>
      <c r="E44" s="4"/>
      <c r="F44" s="4"/>
      <c r="G44" s="4"/>
      <c r="H44" s="4" t="s">
        <v>60</v>
      </c>
      <c r="I44" s="4" t="s">
        <v>60</v>
      </c>
      <c r="J44" s="4" t="s">
        <v>1985</v>
      </c>
      <c r="K44" s="4"/>
      <c r="L44" s="4"/>
    </row>
    <row r="45" customFormat="false" ht="15" hidden="false" customHeight="false" outlineLevel="0" collapsed="false">
      <c r="A45" s="4" t="s">
        <v>1986</v>
      </c>
      <c r="B45" s="4" t="s">
        <v>284</v>
      </c>
      <c r="C45" s="4"/>
      <c r="D45" s="4" t="s">
        <v>261</v>
      </c>
      <c r="E45" s="4"/>
      <c r="F45" s="4"/>
      <c r="G45" s="4"/>
      <c r="H45" s="4" t="s">
        <v>60</v>
      </c>
      <c r="I45" s="4" t="s">
        <v>60</v>
      </c>
      <c r="J45" s="4" t="s">
        <v>1987</v>
      </c>
      <c r="K45" s="4"/>
      <c r="L45" s="4"/>
    </row>
    <row r="46" customFormat="false" ht="15" hidden="false" customHeight="false" outlineLevel="0" collapsed="false">
      <c r="A46" s="4" t="s">
        <v>1988</v>
      </c>
      <c r="B46" s="4" t="s">
        <v>280</v>
      </c>
      <c r="C46" s="4"/>
      <c r="D46" s="4" t="s">
        <v>261</v>
      </c>
      <c r="E46" s="4"/>
      <c r="F46" s="4"/>
      <c r="G46" s="4"/>
      <c r="H46" s="4" t="s">
        <v>60</v>
      </c>
      <c r="I46" s="4" t="s">
        <v>60</v>
      </c>
      <c r="J46" s="4" t="s">
        <v>1989</v>
      </c>
      <c r="K46" s="4"/>
      <c r="L46" s="4"/>
    </row>
    <row r="47" customFormat="false" ht="15" hidden="false" customHeight="false" outlineLevel="0" collapsed="false">
      <c r="A47" s="4" t="s">
        <v>1990</v>
      </c>
      <c r="B47" s="4" t="s">
        <v>275</v>
      </c>
      <c r="C47" s="4"/>
      <c r="D47" s="4" t="s">
        <v>261</v>
      </c>
      <c r="E47" s="4"/>
      <c r="F47" s="4"/>
      <c r="G47" s="4"/>
      <c r="H47" s="4" t="s">
        <v>36</v>
      </c>
      <c r="I47" s="4" t="s">
        <v>36</v>
      </c>
      <c r="J47" s="4" t="s">
        <v>1991</v>
      </c>
      <c r="K47" s="4"/>
      <c r="L47" s="4"/>
    </row>
    <row r="48" customFormat="false" ht="15" hidden="false" customHeight="false" outlineLevel="0" collapsed="false">
      <c r="A48" s="4" t="s">
        <v>1992</v>
      </c>
      <c r="B48" s="4" t="s">
        <v>260</v>
      </c>
      <c r="C48" s="4"/>
      <c r="D48" s="4" t="s">
        <v>261</v>
      </c>
      <c r="E48" s="4"/>
      <c r="F48" s="4"/>
      <c r="G48" s="4"/>
      <c r="H48" s="4" t="s">
        <v>36</v>
      </c>
      <c r="I48" s="4" t="s">
        <v>36</v>
      </c>
      <c r="J48" s="4" t="s">
        <v>1993</v>
      </c>
      <c r="K48" s="4"/>
      <c r="L48" s="4"/>
    </row>
    <row r="49" customFormat="false" ht="15" hidden="false" customHeight="false" outlineLevel="0" collapsed="false">
      <c r="A49" s="4" t="s">
        <v>1994</v>
      </c>
      <c r="B49" s="4" t="s">
        <v>266</v>
      </c>
      <c r="C49" s="4"/>
      <c r="D49" s="4" t="s">
        <v>261</v>
      </c>
      <c r="E49" s="4"/>
      <c r="F49" s="4"/>
      <c r="G49" s="4"/>
      <c r="H49" s="4" t="s">
        <v>36</v>
      </c>
      <c r="I49" s="4" t="s">
        <v>36</v>
      </c>
      <c r="J49" s="4" t="s">
        <v>1995</v>
      </c>
      <c r="K49" s="4"/>
      <c r="L49" s="4"/>
    </row>
    <row r="50" customFormat="false" ht="15" hidden="false" customHeight="false" outlineLevel="0" collapsed="false">
      <c r="A50" s="4" t="s">
        <v>1996</v>
      </c>
      <c r="B50" s="4" t="s">
        <v>312</v>
      </c>
      <c r="C50" s="4"/>
      <c r="D50" s="4" t="s">
        <v>261</v>
      </c>
      <c r="E50" s="4"/>
      <c r="F50" s="4"/>
      <c r="G50" s="4"/>
      <c r="H50" s="4" t="s">
        <v>60</v>
      </c>
      <c r="I50" s="4" t="s">
        <v>60</v>
      </c>
      <c r="J50" s="4" t="s">
        <v>1997</v>
      </c>
      <c r="K50" s="4"/>
      <c r="L50" s="4"/>
    </row>
    <row r="51" customFormat="false" ht="15" hidden="false" customHeight="false" outlineLevel="0" collapsed="false">
      <c r="A51" s="4" t="s">
        <v>1998</v>
      </c>
      <c r="B51" s="4" t="s">
        <v>347</v>
      </c>
      <c r="C51" s="4"/>
      <c r="D51" s="4" t="s">
        <v>322</v>
      </c>
      <c r="E51" s="4"/>
      <c r="F51" s="4"/>
      <c r="G51" s="4"/>
      <c r="H51" s="4" t="s">
        <v>60</v>
      </c>
      <c r="I51" s="4" t="s">
        <v>60</v>
      </c>
      <c r="J51" s="4" t="s">
        <v>1999</v>
      </c>
      <c r="K51" s="4"/>
      <c r="L51" s="4"/>
    </row>
    <row r="52" customFormat="false" ht="15" hidden="false" customHeight="false" outlineLevel="0" collapsed="false">
      <c r="A52" s="4" t="s">
        <v>2000</v>
      </c>
      <c r="B52" s="4" t="s">
        <v>339</v>
      </c>
      <c r="C52" s="4"/>
      <c r="D52" s="4" t="s">
        <v>322</v>
      </c>
      <c r="E52" s="4"/>
      <c r="F52" s="4"/>
      <c r="G52" s="4"/>
      <c r="H52" s="4" t="s">
        <v>60</v>
      </c>
      <c r="I52" s="4" t="s">
        <v>60</v>
      </c>
      <c r="J52" s="4" t="s">
        <v>2001</v>
      </c>
      <c r="K52" s="4"/>
      <c r="L52" s="4"/>
    </row>
    <row r="53" customFormat="false" ht="15" hidden="false" customHeight="false" outlineLevel="0" collapsed="false">
      <c r="A53" s="4" t="s">
        <v>2002</v>
      </c>
      <c r="B53" s="4" t="s">
        <v>321</v>
      </c>
      <c r="C53" s="4"/>
      <c r="D53" s="4" t="s">
        <v>322</v>
      </c>
      <c r="E53" s="4"/>
      <c r="F53" s="4"/>
      <c r="G53" s="4"/>
      <c r="H53" s="4" t="s">
        <v>36</v>
      </c>
      <c r="I53" s="4" t="s">
        <v>36</v>
      </c>
      <c r="J53" s="4" t="s">
        <v>2003</v>
      </c>
      <c r="K53" s="4"/>
      <c r="L53" s="4"/>
    </row>
    <row r="54" customFormat="false" ht="15" hidden="false" customHeight="false" outlineLevel="0" collapsed="false">
      <c r="A54" s="4" t="s">
        <v>2004</v>
      </c>
      <c r="B54" s="4" t="s">
        <v>327</v>
      </c>
      <c r="C54" s="4"/>
      <c r="D54" s="4" t="s">
        <v>322</v>
      </c>
      <c r="E54" s="4"/>
      <c r="F54" s="4"/>
      <c r="G54" s="4"/>
      <c r="H54" s="4" t="s">
        <v>60</v>
      </c>
      <c r="I54" s="4" t="s">
        <v>60</v>
      </c>
      <c r="J54" s="4" t="s">
        <v>2005</v>
      </c>
      <c r="K54" s="4"/>
      <c r="L54" s="4"/>
    </row>
    <row r="55" customFormat="false" ht="15" hidden="false" customHeight="false" outlineLevel="0" collapsed="false">
      <c r="A55" s="4" t="s">
        <v>2006</v>
      </c>
      <c r="B55" s="4" t="s">
        <v>331</v>
      </c>
      <c r="C55" s="4"/>
      <c r="D55" s="4" t="s">
        <v>322</v>
      </c>
      <c r="E55" s="4"/>
      <c r="F55" s="4"/>
      <c r="G55" s="4"/>
      <c r="H55" s="4" t="s">
        <v>60</v>
      </c>
      <c r="I55" s="4" t="s">
        <v>60</v>
      </c>
      <c r="J55" s="4" t="s">
        <v>2007</v>
      </c>
      <c r="K55" s="4"/>
      <c r="L55" s="4"/>
    </row>
    <row r="56" customFormat="false" ht="15" hidden="false" customHeight="false" outlineLevel="0" collapsed="false">
      <c r="A56" s="4" t="s">
        <v>2008</v>
      </c>
      <c r="B56" s="4" t="s">
        <v>335</v>
      </c>
      <c r="C56" s="4"/>
      <c r="D56" s="4" t="s">
        <v>322</v>
      </c>
      <c r="E56" s="4"/>
      <c r="F56" s="4"/>
      <c r="G56" s="4"/>
      <c r="H56" s="4" t="s">
        <v>60</v>
      </c>
      <c r="I56" s="4" t="s">
        <v>60</v>
      </c>
      <c r="J56" s="4" t="s">
        <v>2009</v>
      </c>
      <c r="K56" s="4"/>
      <c r="L56" s="4"/>
    </row>
    <row r="57" customFormat="false" ht="15" hidden="false" customHeight="false" outlineLevel="0" collapsed="false">
      <c r="A57" s="4" t="s">
        <v>2010</v>
      </c>
      <c r="B57" s="4" t="s">
        <v>351</v>
      </c>
      <c r="C57" s="4"/>
      <c r="D57" s="4" t="s">
        <v>322</v>
      </c>
      <c r="E57" s="4"/>
      <c r="F57" s="4"/>
      <c r="G57" s="4"/>
      <c r="H57" s="4" t="s">
        <v>60</v>
      </c>
      <c r="I57" s="4" t="s">
        <v>60</v>
      </c>
      <c r="J57" s="4" t="s">
        <v>2011</v>
      </c>
      <c r="K57" s="4"/>
      <c r="L57" s="4"/>
    </row>
    <row r="58" customFormat="false" ht="15" hidden="false" customHeight="false" outlineLevel="0" collapsed="false">
      <c r="A58" s="4" t="s">
        <v>2012</v>
      </c>
      <c r="B58" s="4" t="s">
        <v>343</v>
      </c>
      <c r="C58" s="4"/>
      <c r="D58" s="4" t="s">
        <v>322</v>
      </c>
      <c r="E58" s="4"/>
      <c r="F58" s="4"/>
      <c r="G58" s="4"/>
      <c r="H58" s="4" t="s">
        <v>60</v>
      </c>
      <c r="I58" s="4" t="s">
        <v>60</v>
      </c>
      <c r="J58" s="4" t="s">
        <v>2013</v>
      </c>
      <c r="K58" s="4"/>
      <c r="L58" s="4"/>
    </row>
    <row r="59" customFormat="false" ht="15" hidden="false" customHeight="false" outlineLevel="0" collapsed="false">
      <c r="A59" s="4" t="s">
        <v>2014</v>
      </c>
      <c r="B59" s="4" t="s">
        <v>393</v>
      </c>
      <c r="C59" s="4"/>
      <c r="D59" s="4" t="s">
        <v>356</v>
      </c>
      <c r="E59" s="4"/>
      <c r="F59" s="4"/>
      <c r="G59" s="4"/>
      <c r="H59" s="4" t="s">
        <v>60</v>
      </c>
      <c r="I59" s="4" t="s">
        <v>60</v>
      </c>
      <c r="J59" s="4" t="s">
        <v>2015</v>
      </c>
      <c r="K59" s="4"/>
      <c r="L59" s="4"/>
    </row>
    <row r="60" customFormat="false" ht="15" hidden="false" customHeight="false" outlineLevel="0" collapsed="false">
      <c r="A60" s="4" t="s">
        <v>2016</v>
      </c>
      <c r="B60" s="4" t="s">
        <v>397</v>
      </c>
      <c r="C60" s="4"/>
      <c r="D60" s="4" t="s">
        <v>356</v>
      </c>
      <c r="E60" s="4"/>
      <c r="F60" s="4"/>
      <c r="G60" s="4"/>
      <c r="H60" s="4" t="s">
        <v>60</v>
      </c>
      <c r="I60" s="4" t="s">
        <v>60</v>
      </c>
      <c r="J60" s="4" t="s">
        <v>2017</v>
      </c>
      <c r="K60" s="4"/>
      <c r="L60" s="4"/>
    </row>
    <row r="61" customFormat="false" ht="15" hidden="false" customHeight="false" outlineLevel="0" collapsed="false">
      <c r="A61" s="4" t="s">
        <v>2018</v>
      </c>
      <c r="B61" s="4" t="s">
        <v>369</v>
      </c>
      <c r="C61" s="4"/>
      <c r="D61" s="4" t="s">
        <v>356</v>
      </c>
      <c r="E61" s="4"/>
      <c r="F61" s="4"/>
      <c r="G61" s="4"/>
      <c r="H61" s="4" t="s">
        <v>60</v>
      </c>
      <c r="I61" s="4" t="s">
        <v>60</v>
      </c>
      <c r="J61" s="4" t="s">
        <v>2019</v>
      </c>
      <c r="K61" s="4"/>
      <c r="L61" s="4"/>
    </row>
    <row r="62" customFormat="false" ht="15" hidden="false" customHeight="false" outlineLevel="0" collapsed="false">
      <c r="A62" s="4" t="s">
        <v>2020</v>
      </c>
      <c r="B62" s="4" t="s">
        <v>355</v>
      </c>
      <c r="C62" s="4"/>
      <c r="D62" s="4" t="s">
        <v>356</v>
      </c>
      <c r="E62" s="4"/>
      <c r="F62" s="4"/>
      <c r="G62" s="4"/>
      <c r="H62" s="4" t="s">
        <v>36</v>
      </c>
      <c r="I62" s="4" t="s">
        <v>36</v>
      </c>
      <c r="J62" s="4" t="s">
        <v>2021</v>
      </c>
      <c r="K62" s="4"/>
      <c r="L62" s="4"/>
    </row>
    <row r="63" customFormat="false" ht="15" hidden="false" customHeight="false" outlineLevel="0" collapsed="false">
      <c r="A63" s="4" t="s">
        <v>2022</v>
      </c>
      <c r="B63" s="4" t="s">
        <v>373</v>
      </c>
      <c r="C63" s="4"/>
      <c r="D63" s="4" t="s">
        <v>356</v>
      </c>
      <c r="E63" s="4"/>
      <c r="F63" s="4"/>
      <c r="G63" s="4"/>
      <c r="H63" s="4" t="s">
        <v>60</v>
      </c>
      <c r="I63" s="4" t="s">
        <v>60</v>
      </c>
      <c r="J63" s="4" t="s">
        <v>2023</v>
      </c>
      <c r="K63" s="4"/>
      <c r="L63" s="4"/>
    </row>
    <row r="64" customFormat="false" ht="15" hidden="false" customHeight="false" outlineLevel="0" collapsed="false">
      <c r="A64" s="4" t="s">
        <v>2024</v>
      </c>
      <c r="B64" s="4" t="s">
        <v>409</v>
      </c>
      <c r="C64" s="4"/>
      <c r="D64" s="4" t="s">
        <v>356</v>
      </c>
      <c r="E64" s="4"/>
      <c r="F64" s="4"/>
      <c r="G64" s="4"/>
      <c r="H64" s="4" t="s">
        <v>60</v>
      </c>
      <c r="I64" s="4" t="s">
        <v>60</v>
      </c>
      <c r="J64" s="4" t="s">
        <v>2025</v>
      </c>
      <c r="K64" s="4"/>
      <c r="L64" s="4"/>
    </row>
    <row r="65" customFormat="false" ht="15" hidden="false" customHeight="false" outlineLevel="0" collapsed="false">
      <c r="A65" s="4" t="s">
        <v>2026</v>
      </c>
      <c r="B65" s="4" t="s">
        <v>385</v>
      </c>
      <c r="C65" s="4"/>
      <c r="D65" s="4" t="s">
        <v>356</v>
      </c>
      <c r="E65" s="4"/>
      <c r="F65" s="4"/>
      <c r="G65" s="4"/>
      <c r="H65" s="4" t="s">
        <v>60</v>
      </c>
      <c r="I65" s="4" t="s">
        <v>60</v>
      </c>
      <c r="J65" s="4" t="s">
        <v>2027</v>
      </c>
      <c r="K65" s="4"/>
      <c r="L65" s="4"/>
    </row>
    <row r="66" customFormat="false" ht="15" hidden="false" customHeight="false" outlineLevel="0" collapsed="false">
      <c r="A66" s="4" t="s">
        <v>2028</v>
      </c>
      <c r="B66" s="4" t="s">
        <v>405</v>
      </c>
      <c r="C66" s="4"/>
      <c r="D66" s="4" t="s">
        <v>356</v>
      </c>
      <c r="E66" s="4"/>
      <c r="F66" s="4"/>
      <c r="G66" s="4"/>
      <c r="H66" s="4" t="s">
        <v>60</v>
      </c>
      <c r="I66" s="4" t="s">
        <v>60</v>
      </c>
      <c r="J66" s="4" t="s">
        <v>2029</v>
      </c>
      <c r="K66" s="4"/>
      <c r="L66" s="4"/>
    </row>
    <row r="67" customFormat="false" ht="15" hidden="false" customHeight="false" outlineLevel="0" collapsed="false">
      <c r="A67" s="4" t="s">
        <v>2030</v>
      </c>
      <c r="B67" s="4" t="s">
        <v>377</v>
      </c>
      <c r="C67" s="4"/>
      <c r="D67" s="4" t="s">
        <v>356</v>
      </c>
      <c r="E67" s="4"/>
      <c r="F67" s="4"/>
      <c r="G67" s="4"/>
      <c r="H67" s="4" t="s">
        <v>60</v>
      </c>
      <c r="I67" s="4" t="s">
        <v>60</v>
      </c>
      <c r="J67" s="4" t="s">
        <v>2031</v>
      </c>
      <c r="K67" s="4"/>
      <c r="L67" s="4"/>
    </row>
    <row r="68" customFormat="false" ht="15" hidden="false" customHeight="false" outlineLevel="0" collapsed="false">
      <c r="A68" s="4" t="s">
        <v>2032</v>
      </c>
      <c r="B68" s="4" t="s">
        <v>401</v>
      </c>
      <c r="C68" s="4"/>
      <c r="D68" s="4" t="s">
        <v>356</v>
      </c>
      <c r="E68" s="4"/>
      <c r="F68" s="4"/>
      <c r="G68" s="4"/>
      <c r="H68" s="4" t="s">
        <v>60</v>
      </c>
      <c r="I68" s="4" t="s">
        <v>60</v>
      </c>
      <c r="J68" s="4" t="s">
        <v>2033</v>
      </c>
      <c r="K68" s="4"/>
      <c r="L68" s="4"/>
    </row>
    <row r="69" customFormat="false" ht="15" hidden="false" customHeight="false" outlineLevel="0" collapsed="false">
      <c r="A69" s="4" t="s">
        <v>2034</v>
      </c>
      <c r="B69" s="4" t="s">
        <v>381</v>
      </c>
      <c r="C69" s="4"/>
      <c r="D69" s="4" t="s">
        <v>356</v>
      </c>
      <c r="E69" s="4"/>
      <c r="F69" s="4"/>
      <c r="G69" s="4"/>
      <c r="H69" s="4" t="s">
        <v>60</v>
      </c>
      <c r="I69" s="4" t="s">
        <v>60</v>
      </c>
      <c r="J69" s="4" t="s">
        <v>2035</v>
      </c>
      <c r="K69" s="4"/>
      <c r="L69" s="4"/>
    </row>
    <row r="70" customFormat="false" ht="15" hidden="false" customHeight="false" outlineLevel="0" collapsed="false">
      <c r="A70" s="4" t="s">
        <v>2036</v>
      </c>
      <c r="B70" s="4" t="s">
        <v>389</v>
      </c>
      <c r="C70" s="4"/>
      <c r="D70" s="4" t="s">
        <v>356</v>
      </c>
      <c r="E70" s="4"/>
      <c r="F70" s="4"/>
      <c r="G70" s="4"/>
      <c r="H70" s="4" t="s">
        <v>60</v>
      </c>
      <c r="I70" s="4" t="s">
        <v>60</v>
      </c>
      <c r="J70" s="4" t="s">
        <v>2037</v>
      </c>
      <c r="K70" s="4"/>
      <c r="L70" s="4"/>
    </row>
    <row r="71" customFormat="false" ht="15" hidden="false" customHeight="false" outlineLevel="0" collapsed="false">
      <c r="A71" s="4" t="s">
        <v>2038</v>
      </c>
      <c r="B71" s="4" t="s">
        <v>455</v>
      </c>
      <c r="C71" s="4"/>
      <c r="D71" s="4" t="s">
        <v>414</v>
      </c>
      <c r="E71" s="4"/>
      <c r="F71" s="4"/>
      <c r="G71" s="4"/>
      <c r="H71" s="4" t="s">
        <v>60</v>
      </c>
      <c r="I71" s="4" t="s">
        <v>60</v>
      </c>
      <c r="J71" s="4" t="s">
        <v>2039</v>
      </c>
      <c r="K71" s="4"/>
      <c r="L71" s="4"/>
    </row>
    <row r="72" customFormat="false" ht="15" hidden="false" customHeight="false" outlineLevel="0" collapsed="false">
      <c r="A72" s="4" t="s">
        <v>2040</v>
      </c>
      <c r="B72" s="4" t="s">
        <v>467</v>
      </c>
      <c r="C72" s="4"/>
      <c r="D72" s="4" t="s">
        <v>414</v>
      </c>
      <c r="E72" s="4"/>
      <c r="F72" s="4"/>
      <c r="G72" s="4"/>
      <c r="H72" s="4" t="s">
        <v>60</v>
      </c>
      <c r="I72" s="4" t="s">
        <v>60</v>
      </c>
      <c r="J72" s="4" t="s">
        <v>2041</v>
      </c>
      <c r="K72" s="4"/>
      <c r="L72" s="4"/>
    </row>
    <row r="73" customFormat="false" ht="15" hidden="false" customHeight="false" outlineLevel="0" collapsed="false">
      <c r="A73" s="4" t="s">
        <v>2042</v>
      </c>
      <c r="B73" s="4" t="s">
        <v>479</v>
      </c>
      <c r="C73" s="4"/>
      <c r="D73" s="4" t="s">
        <v>414</v>
      </c>
      <c r="E73" s="4"/>
      <c r="F73" s="4"/>
      <c r="G73" s="4"/>
      <c r="H73" s="4" t="s">
        <v>60</v>
      </c>
      <c r="I73" s="4" t="s">
        <v>60</v>
      </c>
      <c r="J73" s="4" t="s">
        <v>2043</v>
      </c>
      <c r="K73" s="4"/>
      <c r="L73" s="4"/>
    </row>
    <row r="74" customFormat="false" ht="15" hidden="false" customHeight="false" outlineLevel="0" collapsed="false">
      <c r="A74" s="4" t="s">
        <v>2044</v>
      </c>
      <c r="B74" s="4" t="s">
        <v>439</v>
      </c>
      <c r="C74" s="4"/>
      <c r="D74" s="4" t="s">
        <v>414</v>
      </c>
      <c r="E74" s="4"/>
      <c r="F74" s="4"/>
      <c r="G74" s="4"/>
      <c r="H74" s="4" t="s">
        <v>60</v>
      </c>
      <c r="I74" s="4" t="s">
        <v>36</v>
      </c>
      <c r="J74" s="4" t="s">
        <v>2045</v>
      </c>
      <c r="K74" s="4"/>
      <c r="L74" s="4"/>
    </row>
    <row r="75" customFormat="false" ht="15" hidden="false" customHeight="false" outlineLevel="0" collapsed="false">
      <c r="A75" s="4" t="s">
        <v>2046</v>
      </c>
      <c r="B75" s="4" t="s">
        <v>459</v>
      </c>
      <c r="C75" s="4"/>
      <c r="D75" s="4" t="s">
        <v>414</v>
      </c>
      <c r="E75" s="4"/>
      <c r="F75" s="4"/>
      <c r="G75" s="4"/>
      <c r="H75" s="4" t="s">
        <v>60</v>
      </c>
      <c r="I75" s="4" t="s">
        <v>60</v>
      </c>
      <c r="J75" s="4" t="s">
        <v>2047</v>
      </c>
      <c r="K75" s="4"/>
      <c r="L75" s="4"/>
    </row>
    <row r="76" customFormat="false" ht="15" hidden="false" customHeight="false" outlineLevel="0" collapsed="false">
      <c r="A76" s="4" t="s">
        <v>2048</v>
      </c>
      <c r="B76" s="4" t="s">
        <v>443</v>
      </c>
      <c r="C76" s="4"/>
      <c r="D76" s="4" t="s">
        <v>414</v>
      </c>
      <c r="E76" s="4"/>
      <c r="F76" s="4"/>
      <c r="G76" s="4"/>
      <c r="H76" s="4" t="s">
        <v>60</v>
      </c>
      <c r="I76" s="4" t="s">
        <v>60</v>
      </c>
      <c r="J76" s="4" t="s">
        <v>2049</v>
      </c>
      <c r="K76" s="4"/>
      <c r="L76" s="4"/>
    </row>
    <row r="77" customFormat="false" ht="15" hidden="false" customHeight="false" outlineLevel="0" collapsed="false">
      <c r="A77" s="4" t="s">
        <v>2050</v>
      </c>
      <c r="B77" s="4" t="s">
        <v>430</v>
      </c>
      <c r="C77" s="4"/>
      <c r="D77" s="4" t="s">
        <v>414</v>
      </c>
      <c r="E77" s="4"/>
      <c r="F77" s="4"/>
      <c r="G77" s="4"/>
      <c r="H77" s="4" t="s">
        <v>60</v>
      </c>
      <c r="I77" s="4" t="s">
        <v>36</v>
      </c>
      <c r="J77" s="4" t="s">
        <v>2051</v>
      </c>
      <c r="K77" s="4"/>
      <c r="L77" s="4"/>
    </row>
    <row r="78" customFormat="false" ht="15" hidden="false" customHeight="false" outlineLevel="0" collapsed="false">
      <c r="A78" s="4" t="s">
        <v>2052</v>
      </c>
      <c r="B78" s="4" t="s">
        <v>483</v>
      </c>
      <c r="C78" s="4"/>
      <c r="D78" s="4" t="s">
        <v>414</v>
      </c>
      <c r="E78" s="4"/>
      <c r="F78" s="4"/>
      <c r="G78" s="4"/>
      <c r="H78" s="4" t="s">
        <v>60</v>
      </c>
      <c r="I78" s="4" t="s">
        <v>60</v>
      </c>
      <c r="J78" s="4" t="s">
        <v>2053</v>
      </c>
      <c r="K78" s="4"/>
      <c r="L78" s="4"/>
    </row>
    <row r="79" customFormat="false" ht="15" hidden="false" customHeight="false" outlineLevel="0" collapsed="false">
      <c r="A79" s="4" t="s">
        <v>2054</v>
      </c>
      <c r="B79" s="4" t="s">
        <v>491</v>
      </c>
      <c r="C79" s="4"/>
      <c r="D79" s="4" t="s">
        <v>414</v>
      </c>
      <c r="E79" s="4"/>
      <c r="F79" s="4"/>
      <c r="G79" s="4"/>
      <c r="H79" s="4" t="s">
        <v>60</v>
      </c>
      <c r="I79" s="4" t="s">
        <v>60</v>
      </c>
      <c r="J79" s="4" t="s">
        <v>2055</v>
      </c>
      <c r="K79" s="4"/>
      <c r="L79" s="4"/>
    </row>
    <row r="80" customFormat="false" ht="15" hidden="false" customHeight="false" outlineLevel="0" collapsed="false">
      <c r="A80" s="4" t="s">
        <v>2056</v>
      </c>
      <c r="B80" s="4" t="s">
        <v>451</v>
      </c>
      <c r="C80" s="4"/>
      <c r="D80" s="4" t="s">
        <v>414</v>
      </c>
      <c r="E80" s="4"/>
      <c r="F80" s="4"/>
      <c r="G80" s="4"/>
      <c r="H80" s="4" t="s">
        <v>60</v>
      </c>
      <c r="I80" s="4" t="s">
        <v>60</v>
      </c>
      <c r="J80" s="4" t="s">
        <v>2057</v>
      </c>
      <c r="K80" s="4"/>
      <c r="L80" s="4"/>
    </row>
    <row r="81" customFormat="false" ht="15" hidden="false" customHeight="false" outlineLevel="0" collapsed="false">
      <c r="A81" s="4" t="s">
        <v>2058</v>
      </c>
      <c r="B81" s="4" t="s">
        <v>475</v>
      </c>
      <c r="C81" s="4"/>
      <c r="D81" s="4" t="s">
        <v>414</v>
      </c>
      <c r="E81" s="4"/>
      <c r="F81" s="4"/>
      <c r="G81" s="4"/>
      <c r="H81" s="4" t="s">
        <v>60</v>
      </c>
      <c r="I81" s="4" t="s">
        <v>60</v>
      </c>
      <c r="J81" s="4" t="s">
        <v>2059</v>
      </c>
      <c r="K81" s="4"/>
      <c r="L81" s="4"/>
    </row>
    <row r="82" customFormat="false" ht="15" hidden="false" customHeight="false" outlineLevel="0" collapsed="false">
      <c r="A82" s="4" t="s">
        <v>2060</v>
      </c>
      <c r="B82" s="4" t="s">
        <v>435</v>
      </c>
      <c r="C82" s="4"/>
      <c r="D82" s="4" t="s">
        <v>414</v>
      </c>
      <c r="E82" s="4"/>
      <c r="F82" s="4"/>
      <c r="G82" s="4"/>
      <c r="H82" s="4" t="s">
        <v>60</v>
      </c>
      <c r="I82" s="4" t="s">
        <v>36</v>
      </c>
      <c r="J82" s="4" t="s">
        <v>2061</v>
      </c>
      <c r="K82" s="4"/>
      <c r="L82" s="4"/>
    </row>
    <row r="83" customFormat="false" ht="15" hidden="false" customHeight="false" outlineLevel="0" collapsed="false">
      <c r="A83" s="4" t="s">
        <v>2062</v>
      </c>
      <c r="B83" s="4" t="s">
        <v>413</v>
      </c>
      <c r="C83" s="4"/>
      <c r="D83" s="4" t="s">
        <v>414</v>
      </c>
      <c r="E83" s="4"/>
      <c r="F83" s="4"/>
      <c r="G83" s="4"/>
      <c r="H83" s="4" t="s">
        <v>36</v>
      </c>
      <c r="I83" s="4" t="s">
        <v>36</v>
      </c>
      <c r="J83" s="4" t="s">
        <v>2063</v>
      </c>
      <c r="K83" s="4"/>
      <c r="L83" s="4"/>
    </row>
    <row r="84" customFormat="false" ht="15" hidden="false" customHeight="false" outlineLevel="0" collapsed="false">
      <c r="A84" s="4" t="s">
        <v>2064</v>
      </c>
      <c r="B84" s="4" t="s">
        <v>447</v>
      </c>
      <c r="C84" s="4"/>
      <c r="D84" s="4" t="s">
        <v>414</v>
      </c>
      <c r="E84" s="4"/>
      <c r="F84" s="4"/>
      <c r="G84" s="4"/>
      <c r="H84" s="4" t="s">
        <v>60</v>
      </c>
      <c r="I84" s="4" t="s">
        <v>60</v>
      </c>
      <c r="J84" s="4" t="s">
        <v>2065</v>
      </c>
      <c r="K84" s="4"/>
      <c r="L84" s="4"/>
    </row>
    <row r="85" customFormat="false" ht="15" hidden="false" customHeight="false" outlineLevel="0" collapsed="false">
      <c r="A85" s="4" t="s">
        <v>2066</v>
      </c>
      <c r="B85" s="4" t="s">
        <v>487</v>
      </c>
      <c r="C85" s="4"/>
      <c r="D85" s="4" t="s">
        <v>414</v>
      </c>
      <c r="E85" s="4"/>
      <c r="F85" s="4"/>
      <c r="G85" s="4"/>
      <c r="H85" s="4" t="s">
        <v>60</v>
      </c>
      <c r="I85" s="4" t="s">
        <v>60</v>
      </c>
      <c r="J85" s="4" t="s">
        <v>2067</v>
      </c>
      <c r="K85" s="4"/>
      <c r="L85" s="4"/>
    </row>
    <row r="86" customFormat="false" ht="15" hidden="false" customHeight="false" outlineLevel="0" collapsed="false">
      <c r="A86" s="4" t="s">
        <v>2068</v>
      </c>
      <c r="B86" s="4" t="s">
        <v>471</v>
      </c>
      <c r="C86" s="4"/>
      <c r="D86" s="4" t="s">
        <v>414</v>
      </c>
      <c r="E86" s="4"/>
      <c r="F86" s="4"/>
      <c r="G86" s="4"/>
      <c r="H86" s="4" t="s">
        <v>60</v>
      </c>
      <c r="I86" s="4" t="s">
        <v>60</v>
      </c>
      <c r="J86" s="4" t="s">
        <v>2069</v>
      </c>
      <c r="K86" s="4"/>
      <c r="L86" s="4"/>
    </row>
    <row r="87" customFormat="false" ht="15" hidden="false" customHeight="false" outlineLevel="0" collapsed="false">
      <c r="A87" s="4" t="s">
        <v>2070</v>
      </c>
      <c r="B87" s="4" t="s">
        <v>463</v>
      </c>
      <c r="C87" s="4"/>
      <c r="D87" s="4" t="s">
        <v>414</v>
      </c>
      <c r="E87" s="4"/>
      <c r="F87" s="4"/>
      <c r="G87" s="4"/>
      <c r="H87" s="4" t="s">
        <v>60</v>
      </c>
      <c r="I87" s="4" t="s">
        <v>60</v>
      </c>
      <c r="J87" s="4" t="s">
        <v>2071</v>
      </c>
      <c r="K87" s="4"/>
      <c r="L87" s="4"/>
    </row>
    <row r="88" customFormat="false" ht="15" hidden="false" customHeight="false" outlineLevel="0" collapsed="false">
      <c r="A88" s="4" t="s">
        <v>2072</v>
      </c>
      <c r="B88" s="4" t="s">
        <v>525</v>
      </c>
      <c r="C88" s="4"/>
      <c r="D88" s="4" t="s">
        <v>496</v>
      </c>
      <c r="E88" s="4"/>
      <c r="F88" s="4"/>
      <c r="G88" s="4"/>
      <c r="H88" s="4" t="s">
        <v>60</v>
      </c>
      <c r="I88" s="4" t="s">
        <v>60</v>
      </c>
      <c r="J88" s="4" t="s">
        <v>2073</v>
      </c>
      <c r="K88" s="4"/>
      <c r="L88" s="4"/>
    </row>
    <row r="89" customFormat="false" ht="15" hidden="false" customHeight="false" outlineLevel="0" collapsed="false">
      <c r="A89" s="4" t="s">
        <v>2074</v>
      </c>
      <c r="B89" s="4" t="s">
        <v>509</v>
      </c>
      <c r="C89" s="4"/>
      <c r="D89" s="4" t="s">
        <v>496</v>
      </c>
      <c r="E89" s="4"/>
      <c r="F89" s="4"/>
      <c r="G89" s="4"/>
      <c r="H89" s="4" t="s">
        <v>60</v>
      </c>
      <c r="I89" s="4" t="s">
        <v>60</v>
      </c>
      <c r="J89" s="4" t="s">
        <v>2075</v>
      </c>
      <c r="K89" s="4"/>
      <c r="L89" s="4"/>
    </row>
    <row r="90" customFormat="false" ht="15" hidden="false" customHeight="false" outlineLevel="0" collapsed="false">
      <c r="A90" s="4" t="s">
        <v>2076</v>
      </c>
      <c r="B90" s="4" t="s">
        <v>501</v>
      </c>
      <c r="C90" s="4"/>
      <c r="D90" s="4" t="s">
        <v>496</v>
      </c>
      <c r="E90" s="4"/>
      <c r="F90" s="4"/>
      <c r="G90" s="4"/>
      <c r="H90" s="4" t="s">
        <v>36</v>
      </c>
      <c r="I90" s="4" t="s">
        <v>36</v>
      </c>
      <c r="J90" s="4" t="s">
        <v>2077</v>
      </c>
      <c r="K90" s="4"/>
      <c r="L90" s="4"/>
    </row>
    <row r="91" customFormat="false" ht="15" hidden="false" customHeight="false" outlineLevel="0" collapsed="false">
      <c r="A91" s="4" t="s">
        <v>2078</v>
      </c>
      <c r="B91" s="4" t="s">
        <v>533</v>
      </c>
      <c r="C91" s="4"/>
      <c r="D91" s="4" t="s">
        <v>496</v>
      </c>
      <c r="E91" s="4"/>
      <c r="F91" s="4"/>
      <c r="G91" s="4"/>
      <c r="H91" s="4" t="s">
        <v>60</v>
      </c>
      <c r="I91" s="4" t="s">
        <v>60</v>
      </c>
      <c r="J91" s="4" t="s">
        <v>2079</v>
      </c>
      <c r="K91" s="4"/>
      <c r="L91" s="4"/>
    </row>
    <row r="92" customFormat="false" ht="15" hidden="false" customHeight="false" outlineLevel="0" collapsed="false">
      <c r="A92" s="4" t="s">
        <v>2080</v>
      </c>
      <c r="B92" s="4" t="s">
        <v>505</v>
      </c>
      <c r="C92" s="4"/>
      <c r="D92" s="4" t="s">
        <v>496</v>
      </c>
      <c r="E92" s="4"/>
      <c r="F92" s="4"/>
      <c r="G92" s="4"/>
      <c r="H92" s="4" t="s">
        <v>60</v>
      </c>
      <c r="I92" s="4" t="s">
        <v>60</v>
      </c>
      <c r="J92" s="4" t="s">
        <v>2081</v>
      </c>
      <c r="K92" s="4"/>
      <c r="L92" s="4"/>
    </row>
    <row r="93" customFormat="false" ht="15" hidden="false" customHeight="false" outlineLevel="0" collapsed="false">
      <c r="A93" s="4" t="s">
        <v>2082</v>
      </c>
      <c r="B93" s="4" t="s">
        <v>521</v>
      </c>
      <c r="C93" s="4"/>
      <c r="D93" s="4" t="s">
        <v>496</v>
      </c>
      <c r="E93" s="4"/>
      <c r="F93" s="4"/>
      <c r="G93" s="4"/>
      <c r="H93" s="4" t="s">
        <v>60</v>
      </c>
      <c r="I93" s="4" t="s">
        <v>60</v>
      </c>
      <c r="J93" s="4" t="s">
        <v>2083</v>
      </c>
      <c r="K93" s="4"/>
      <c r="L93" s="4"/>
    </row>
    <row r="94" customFormat="false" ht="15" hidden="false" customHeight="false" outlineLevel="0" collapsed="false">
      <c r="A94" s="4" t="s">
        <v>2084</v>
      </c>
      <c r="B94" s="4" t="s">
        <v>517</v>
      </c>
      <c r="C94" s="4"/>
      <c r="D94" s="4" t="s">
        <v>496</v>
      </c>
      <c r="E94" s="4"/>
      <c r="F94" s="4"/>
      <c r="G94" s="4"/>
      <c r="H94" s="4" t="s">
        <v>60</v>
      </c>
      <c r="I94" s="4" t="s">
        <v>60</v>
      </c>
      <c r="J94" s="4" t="s">
        <v>2085</v>
      </c>
      <c r="K94" s="4"/>
      <c r="L94" s="4"/>
    </row>
    <row r="95" customFormat="false" ht="15" hidden="false" customHeight="false" outlineLevel="0" collapsed="false">
      <c r="A95" s="4" t="s">
        <v>2086</v>
      </c>
      <c r="B95" s="4" t="s">
        <v>513</v>
      </c>
      <c r="C95" s="4"/>
      <c r="D95" s="4" t="s">
        <v>496</v>
      </c>
      <c r="E95" s="4"/>
      <c r="F95" s="4"/>
      <c r="G95" s="4"/>
      <c r="H95" s="4" t="s">
        <v>60</v>
      </c>
      <c r="I95" s="4" t="s">
        <v>60</v>
      </c>
      <c r="J95" s="4" t="s">
        <v>2087</v>
      </c>
      <c r="K95" s="4"/>
      <c r="L95" s="4"/>
    </row>
    <row r="96" customFormat="false" ht="15" hidden="false" customHeight="false" outlineLevel="0" collapsed="false">
      <c r="A96" s="4" t="s">
        <v>2088</v>
      </c>
      <c r="B96" s="4" t="s">
        <v>495</v>
      </c>
      <c r="C96" s="4"/>
      <c r="D96" s="4" t="s">
        <v>496</v>
      </c>
      <c r="E96" s="4"/>
      <c r="F96" s="4"/>
      <c r="G96" s="4"/>
      <c r="H96" s="4" t="s">
        <v>36</v>
      </c>
      <c r="I96" s="4" t="s">
        <v>36</v>
      </c>
      <c r="J96" s="4" t="s">
        <v>2089</v>
      </c>
      <c r="K96" s="4"/>
      <c r="L96" s="4"/>
    </row>
    <row r="97" customFormat="false" ht="15" hidden="false" customHeight="false" outlineLevel="0" collapsed="false">
      <c r="A97" s="4" t="s">
        <v>2090</v>
      </c>
      <c r="B97" s="4" t="s">
        <v>529</v>
      </c>
      <c r="C97" s="4"/>
      <c r="D97" s="4" t="s">
        <v>496</v>
      </c>
      <c r="E97" s="4"/>
      <c r="F97" s="4"/>
      <c r="G97" s="4"/>
      <c r="H97" s="4" t="s">
        <v>60</v>
      </c>
      <c r="I97" s="4" t="s">
        <v>60</v>
      </c>
      <c r="J97" s="4" t="s">
        <v>2091</v>
      </c>
      <c r="K97" s="4"/>
      <c r="L97" s="4"/>
    </row>
    <row r="98" customFormat="false" ht="15" hidden="false" customHeight="false" outlineLevel="0" collapsed="false">
      <c r="A98" s="4" t="s">
        <v>2092</v>
      </c>
      <c r="B98" s="4" t="s">
        <v>562</v>
      </c>
      <c r="C98" s="4"/>
      <c r="D98" s="4" t="s">
        <v>538</v>
      </c>
      <c r="E98" s="4"/>
      <c r="F98" s="4"/>
      <c r="G98" s="4"/>
      <c r="H98" s="4" t="s">
        <v>60</v>
      </c>
      <c r="I98" s="4" t="s">
        <v>60</v>
      </c>
      <c r="J98" s="4" t="s">
        <v>2093</v>
      </c>
      <c r="K98" s="4"/>
      <c r="L98" s="4"/>
    </row>
    <row r="99" customFormat="false" ht="15" hidden="false" customHeight="false" outlineLevel="0" collapsed="false">
      <c r="A99" s="4" t="s">
        <v>2094</v>
      </c>
      <c r="B99" s="4" t="s">
        <v>566</v>
      </c>
      <c r="C99" s="4"/>
      <c r="D99" s="4" t="s">
        <v>538</v>
      </c>
      <c r="E99" s="4"/>
      <c r="F99" s="4"/>
      <c r="G99" s="4"/>
      <c r="H99" s="4" t="s">
        <v>60</v>
      </c>
      <c r="I99" s="4" t="s">
        <v>60</v>
      </c>
      <c r="J99" s="4" t="s">
        <v>2095</v>
      </c>
      <c r="K99" s="4"/>
      <c r="L99" s="4"/>
    </row>
    <row r="100" customFormat="false" ht="15" hidden="false" customHeight="false" outlineLevel="0" collapsed="false">
      <c r="A100" s="4" t="s">
        <v>2096</v>
      </c>
      <c r="B100" s="4" t="s">
        <v>548</v>
      </c>
      <c r="C100" s="4"/>
      <c r="D100" s="4" t="s">
        <v>538</v>
      </c>
      <c r="E100" s="4"/>
      <c r="F100" s="4"/>
      <c r="G100" s="4"/>
      <c r="H100" s="4" t="s">
        <v>60</v>
      </c>
      <c r="I100" s="4" t="s">
        <v>36</v>
      </c>
      <c r="J100" s="4" t="s">
        <v>2097</v>
      </c>
      <c r="K100" s="4"/>
      <c r="L100" s="4"/>
    </row>
    <row r="101" customFormat="false" ht="15" hidden="false" customHeight="false" outlineLevel="0" collapsed="false">
      <c r="A101" s="4" t="s">
        <v>2098</v>
      </c>
      <c r="B101" s="4" t="s">
        <v>543</v>
      </c>
      <c r="C101" s="4"/>
      <c r="D101" s="4" t="s">
        <v>538</v>
      </c>
      <c r="E101" s="4"/>
      <c r="F101" s="4"/>
      <c r="G101" s="4"/>
      <c r="H101" s="4" t="s">
        <v>60</v>
      </c>
      <c r="I101" s="4" t="s">
        <v>36</v>
      </c>
      <c r="J101" s="4" t="s">
        <v>2099</v>
      </c>
      <c r="K101" s="4"/>
      <c r="L101" s="4"/>
    </row>
    <row r="102" customFormat="false" ht="15" hidden="false" customHeight="false" outlineLevel="0" collapsed="false">
      <c r="A102" s="4" t="s">
        <v>2100</v>
      </c>
      <c r="B102" s="4" t="s">
        <v>537</v>
      </c>
      <c r="C102" s="4"/>
      <c r="D102" s="4" t="s">
        <v>538</v>
      </c>
      <c r="E102" s="4"/>
      <c r="F102" s="4"/>
      <c r="G102" s="4"/>
      <c r="H102" s="4" t="s">
        <v>36</v>
      </c>
      <c r="I102" s="4" t="s">
        <v>36</v>
      </c>
      <c r="J102" s="4" t="s">
        <v>2101</v>
      </c>
      <c r="K102" s="4"/>
      <c r="L102" s="4"/>
    </row>
    <row r="103" customFormat="false" ht="15" hidden="false" customHeight="false" outlineLevel="0" collapsed="false">
      <c r="A103" s="4" t="s">
        <v>2102</v>
      </c>
      <c r="B103" s="4" t="s">
        <v>557</v>
      </c>
      <c r="C103" s="4"/>
      <c r="D103" s="4" t="s">
        <v>538</v>
      </c>
      <c r="E103" s="4"/>
      <c r="F103" s="4"/>
      <c r="G103" s="4"/>
      <c r="H103" s="4" t="s">
        <v>60</v>
      </c>
      <c r="I103" s="4" t="s">
        <v>60</v>
      </c>
      <c r="J103" s="4" t="s">
        <v>2103</v>
      </c>
      <c r="K103" s="4"/>
      <c r="L103" s="4"/>
    </row>
    <row r="104" customFormat="false" ht="15" hidden="false" customHeight="false" outlineLevel="0" collapsed="false">
      <c r="A104" s="4" t="s">
        <v>2104</v>
      </c>
      <c r="B104" s="4" t="s">
        <v>552</v>
      </c>
      <c r="C104" s="4"/>
      <c r="D104" s="4" t="s">
        <v>538</v>
      </c>
      <c r="E104" s="4"/>
      <c r="F104" s="4"/>
      <c r="G104" s="4"/>
      <c r="H104" s="4" t="s">
        <v>60</v>
      </c>
      <c r="I104" s="4" t="s">
        <v>60</v>
      </c>
      <c r="J104" s="4" t="s">
        <v>2105</v>
      </c>
      <c r="K104" s="4" t="s">
        <v>2106</v>
      </c>
      <c r="L104" s="4"/>
    </row>
    <row r="105" customFormat="false" ht="15" hidden="false" customHeight="false" outlineLevel="0" collapsed="false">
      <c r="A105" s="4" t="s">
        <v>2107</v>
      </c>
      <c r="B105" s="4" t="s">
        <v>571</v>
      </c>
      <c r="C105" s="4"/>
      <c r="D105" s="4" t="s">
        <v>572</v>
      </c>
      <c r="E105" s="4"/>
      <c r="F105" s="4"/>
      <c r="G105" s="4"/>
      <c r="H105" s="4" t="s">
        <v>36</v>
      </c>
      <c r="I105" s="4" t="s">
        <v>36</v>
      </c>
      <c r="J105" s="4" t="s">
        <v>2108</v>
      </c>
      <c r="K105" s="4"/>
      <c r="L105" s="4"/>
    </row>
    <row r="106" customFormat="false" ht="15" hidden="false" customHeight="false" outlineLevel="0" collapsed="false">
      <c r="A106" s="4" t="s">
        <v>2109</v>
      </c>
      <c r="B106" s="4" t="s">
        <v>612</v>
      </c>
      <c r="C106" s="4"/>
      <c r="D106" s="4" t="s">
        <v>572</v>
      </c>
      <c r="E106" s="4"/>
      <c r="F106" s="4"/>
      <c r="G106" s="4"/>
      <c r="H106" s="4" t="s">
        <v>60</v>
      </c>
      <c r="I106" s="4" t="s">
        <v>60</v>
      </c>
      <c r="J106" s="4" t="s">
        <v>2110</v>
      </c>
      <c r="K106" s="4"/>
      <c r="L106" s="4"/>
    </row>
    <row r="107" customFormat="false" ht="15" hidden="false" customHeight="false" outlineLevel="0" collapsed="false">
      <c r="A107" s="4" t="s">
        <v>2111</v>
      </c>
      <c r="B107" s="4" t="s">
        <v>637</v>
      </c>
      <c r="C107" s="4"/>
      <c r="D107" s="4" t="s">
        <v>572</v>
      </c>
      <c r="E107" s="4"/>
      <c r="F107" s="4"/>
      <c r="G107" s="4"/>
      <c r="H107" s="4" t="s">
        <v>60</v>
      </c>
      <c r="I107" s="4" t="s">
        <v>60</v>
      </c>
      <c r="J107" s="4" t="s">
        <v>2112</v>
      </c>
      <c r="K107" s="4"/>
      <c r="L107" s="4"/>
    </row>
    <row r="108" customFormat="false" ht="15" hidden="false" customHeight="false" outlineLevel="0" collapsed="false">
      <c r="A108" s="4" t="s">
        <v>2113</v>
      </c>
      <c r="B108" s="4" t="s">
        <v>592</v>
      </c>
      <c r="C108" s="4"/>
      <c r="D108" s="4" t="s">
        <v>572</v>
      </c>
      <c r="E108" s="4"/>
      <c r="F108" s="4"/>
      <c r="G108" s="4"/>
      <c r="H108" s="4" t="s">
        <v>60</v>
      </c>
      <c r="I108" s="4" t="s">
        <v>60</v>
      </c>
      <c r="J108" s="4" t="s">
        <v>2114</v>
      </c>
      <c r="K108" s="4"/>
      <c r="L108" s="4"/>
    </row>
    <row r="109" customFormat="false" ht="15" hidden="false" customHeight="false" outlineLevel="0" collapsed="false">
      <c r="A109" s="4" t="s">
        <v>2115</v>
      </c>
      <c r="B109" s="4" t="s">
        <v>608</v>
      </c>
      <c r="C109" s="4"/>
      <c r="D109" s="4" t="s">
        <v>572</v>
      </c>
      <c r="E109" s="4"/>
      <c r="F109" s="4"/>
      <c r="G109" s="4"/>
      <c r="H109" s="4" t="s">
        <v>60</v>
      </c>
      <c r="I109" s="4" t="s">
        <v>60</v>
      </c>
      <c r="J109" s="4" t="s">
        <v>2116</v>
      </c>
      <c r="K109" s="4"/>
      <c r="L109" s="4"/>
    </row>
    <row r="110" customFormat="false" ht="15" hidden="false" customHeight="false" outlineLevel="0" collapsed="false">
      <c r="A110" s="4" t="s">
        <v>2117</v>
      </c>
      <c r="B110" s="4" t="s">
        <v>628</v>
      </c>
      <c r="C110" s="4"/>
      <c r="D110" s="4" t="s">
        <v>572</v>
      </c>
      <c r="E110" s="4"/>
      <c r="F110" s="4"/>
      <c r="G110" s="4"/>
      <c r="H110" s="4" t="s">
        <v>60</v>
      </c>
      <c r="I110" s="4" t="s">
        <v>60</v>
      </c>
      <c r="J110" s="4" t="s">
        <v>2118</v>
      </c>
      <c r="K110" s="4"/>
      <c r="L110" s="4"/>
    </row>
    <row r="111" customFormat="false" ht="15" hidden="false" customHeight="false" outlineLevel="0" collapsed="false">
      <c r="A111" s="4" t="s">
        <v>2119</v>
      </c>
      <c r="B111" s="4" t="s">
        <v>604</v>
      </c>
      <c r="C111" s="4"/>
      <c r="D111" s="4" t="s">
        <v>572</v>
      </c>
      <c r="E111" s="4"/>
      <c r="F111" s="4"/>
      <c r="G111" s="4"/>
      <c r="H111" s="4" t="s">
        <v>36</v>
      </c>
      <c r="I111" s="4" t="s">
        <v>60</v>
      </c>
      <c r="J111" s="4" t="s">
        <v>2120</v>
      </c>
      <c r="K111" s="4"/>
      <c r="L111" s="4"/>
    </row>
    <row r="112" customFormat="false" ht="15" hidden="false" customHeight="false" outlineLevel="0" collapsed="false">
      <c r="A112" s="4" t="s">
        <v>2121</v>
      </c>
      <c r="B112" s="4" t="s">
        <v>596</v>
      </c>
      <c r="C112" s="4"/>
      <c r="D112" s="4" t="s">
        <v>572</v>
      </c>
      <c r="E112" s="4"/>
      <c r="F112" s="4"/>
      <c r="G112" s="4"/>
      <c r="H112" s="4" t="s">
        <v>60</v>
      </c>
      <c r="I112" s="4" t="s">
        <v>60</v>
      </c>
      <c r="J112" s="4" t="s">
        <v>2122</v>
      </c>
      <c r="K112" s="4"/>
      <c r="L112" s="4"/>
    </row>
    <row r="113" customFormat="false" ht="15" hidden="false" customHeight="false" outlineLevel="0" collapsed="false">
      <c r="A113" s="4" t="s">
        <v>2123</v>
      </c>
      <c r="B113" s="4" t="s">
        <v>600</v>
      </c>
      <c r="C113" s="4"/>
      <c r="D113" s="4" t="s">
        <v>572</v>
      </c>
      <c r="E113" s="4"/>
      <c r="F113" s="4"/>
      <c r="G113" s="4"/>
      <c r="H113" s="4" t="s">
        <v>60</v>
      </c>
      <c r="I113" s="4" t="s">
        <v>60</v>
      </c>
      <c r="J113" s="4" t="s">
        <v>2124</v>
      </c>
      <c r="K113" s="4"/>
      <c r="L113" s="4"/>
    </row>
    <row r="114" customFormat="false" ht="15" hidden="false" customHeight="false" outlineLevel="0" collapsed="false">
      <c r="A114" s="4" t="s">
        <v>2125</v>
      </c>
      <c r="B114" s="4" t="s">
        <v>616</v>
      </c>
      <c r="C114" s="4"/>
      <c r="D114" s="4" t="s">
        <v>572</v>
      </c>
      <c r="E114" s="4"/>
      <c r="F114" s="4"/>
      <c r="G114" s="4"/>
      <c r="H114" s="4" t="s">
        <v>60</v>
      </c>
      <c r="I114" s="4" t="s">
        <v>60</v>
      </c>
      <c r="J114" s="4" t="s">
        <v>2126</v>
      </c>
      <c r="K114" s="4"/>
      <c r="L114" s="4"/>
    </row>
    <row r="115" customFormat="false" ht="15" hidden="false" customHeight="false" outlineLevel="0" collapsed="false">
      <c r="A115" s="4" t="s">
        <v>2127</v>
      </c>
      <c r="B115" s="4" t="s">
        <v>620</v>
      </c>
      <c r="C115" s="4"/>
      <c r="D115" s="4" t="s">
        <v>572</v>
      </c>
      <c r="E115" s="4"/>
      <c r="F115" s="4"/>
      <c r="G115" s="4"/>
      <c r="H115" s="4" t="s">
        <v>60</v>
      </c>
      <c r="I115" s="4" t="s">
        <v>60</v>
      </c>
      <c r="J115" s="4" t="s">
        <v>2128</v>
      </c>
      <c r="K115" s="4"/>
      <c r="L115" s="4"/>
    </row>
    <row r="116" customFormat="false" ht="15" hidden="false" customHeight="false" outlineLevel="0" collapsed="false">
      <c r="A116" s="4" t="s">
        <v>2129</v>
      </c>
      <c r="B116" s="4" t="s">
        <v>624</v>
      </c>
      <c r="C116" s="4"/>
      <c r="D116" s="4" t="s">
        <v>572</v>
      </c>
      <c r="E116" s="4"/>
      <c r="F116" s="4"/>
      <c r="G116" s="4"/>
      <c r="H116" s="4" t="s">
        <v>60</v>
      </c>
      <c r="I116" s="4" t="s">
        <v>60</v>
      </c>
      <c r="J116" s="4" t="s">
        <v>2130</v>
      </c>
      <c r="K116" s="4"/>
      <c r="L116" s="4"/>
    </row>
    <row r="117" customFormat="false" ht="15" hidden="false" customHeight="false" outlineLevel="0" collapsed="false">
      <c r="A117" s="4" t="s">
        <v>2131</v>
      </c>
      <c r="B117" s="4" t="s">
        <v>587</v>
      </c>
      <c r="C117" s="4"/>
      <c r="D117" s="4" t="s">
        <v>572</v>
      </c>
      <c r="E117" s="4"/>
      <c r="F117" s="4"/>
      <c r="G117" s="4"/>
      <c r="H117" s="4" t="s">
        <v>36</v>
      </c>
      <c r="I117" s="4" t="s">
        <v>36</v>
      </c>
      <c r="J117" s="4" t="s">
        <v>2132</v>
      </c>
      <c r="K117" s="4"/>
      <c r="L117" s="4"/>
    </row>
    <row r="118" customFormat="false" ht="15" hidden="false" customHeight="false" outlineLevel="0" collapsed="false">
      <c r="A118" s="4" t="s">
        <v>2133</v>
      </c>
      <c r="B118" s="4" t="s">
        <v>577</v>
      </c>
      <c r="C118" s="4"/>
      <c r="D118" s="4" t="s">
        <v>572</v>
      </c>
      <c r="E118" s="4"/>
      <c r="F118" s="4"/>
      <c r="G118" s="4"/>
      <c r="H118" s="4" t="s">
        <v>36</v>
      </c>
      <c r="I118" s="4" t="s">
        <v>36</v>
      </c>
      <c r="J118" s="4" t="s">
        <v>2134</v>
      </c>
      <c r="K118" s="4"/>
      <c r="L118" s="4"/>
    </row>
    <row r="119" customFormat="false" ht="15" hidden="false" customHeight="false" outlineLevel="0" collapsed="false">
      <c r="A119" s="4" t="s">
        <v>2135</v>
      </c>
      <c r="B119" s="4" t="s">
        <v>582</v>
      </c>
      <c r="C119" s="4"/>
      <c r="D119" s="4" t="s">
        <v>572</v>
      </c>
      <c r="E119" s="4"/>
      <c r="F119" s="4"/>
      <c r="G119" s="4"/>
      <c r="H119" s="4" t="s">
        <v>36</v>
      </c>
      <c r="I119" s="4" t="s">
        <v>36</v>
      </c>
      <c r="J119" s="4" t="s">
        <v>2136</v>
      </c>
      <c r="K119" s="4" t="s">
        <v>2137</v>
      </c>
      <c r="L119" s="4"/>
    </row>
    <row r="120" customFormat="false" ht="15" hidden="false" customHeight="false" outlineLevel="0" collapsed="false">
      <c r="A120" s="4" t="s">
        <v>2138</v>
      </c>
      <c r="B120" s="4" t="s">
        <v>632</v>
      </c>
      <c r="C120" s="4"/>
      <c r="D120" s="4" t="s">
        <v>572</v>
      </c>
      <c r="E120" s="4"/>
      <c r="F120" s="4"/>
      <c r="G120" s="4"/>
      <c r="H120" s="4" t="s">
        <v>60</v>
      </c>
      <c r="I120" s="4" t="s">
        <v>60</v>
      </c>
      <c r="J120" s="4" t="s">
        <v>2139</v>
      </c>
      <c r="K120" s="4"/>
      <c r="L120" s="4"/>
    </row>
    <row r="121" customFormat="false" ht="15" hidden="false" customHeight="false" outlineLevel="0" collapsed="false">
      <c r="A121" s="4" t="s">
        <v>2140</v>
      </c>
      <c r="B121" s="4" t="s">
        <v>651</v>
      </c>
      <c r="C121" s="4"/>
      <c r="D121" s="4" t="s">
        <v>642</v>
      </c>
      <c r="E121" s="4"/>
      <c r="F121" s="4"/>
      <c r="G121" s="4"/>
      <c r="H121" s="4" t="s">
        <v>36</v>
      </c>
      <c r="I121" s="4" t="s">
        <v>36</v>
      </c>
      <c r="J121" s="4" t="s">
        <v>2141</v>
      </c>
      <c r="K121" s="4"/>
      <c r="L121" s="4"/>
    </row>
    <row r="122" customFormat="false" ht="15" hidden="false" customHeight="false" outlineLevel="0" collapsed="false">
      <c r="A122" s="4" t="s">
        <v>2142</v>
      </c>
      <c r="B122" s="4" t="s">
        <v>686</v>
      </c>
      <c r="C122" s="4"/>
      <c r="D122" s="4" t="s">
        <v>642</v>
      </c>
      <c r="E122" s="4"/>
      <c r="F122" s="4"/>
      <c r="G122" s="4"/>
      <c r="H122" s="4" t="s">
        <v>60</v>
      </c>
      <c r="I122" s="4" t="s">
        <v>60</v>
      </c>
      <c r="J122" s="4" t="s">
        <v>2143</v>
      </c>
      <c r="K122" s="4"/>
      <c r="L122" s="4"/>
    </row>
    <row r="123" customFormat="false" ht="15" hidden="false" customHeight="false" outlineLevel="0" collapsed="false">
      <c r="A123" s="4" t="s">
        <v>2144</v>
      </c>
      <c r="B123" s="4" t="s">
        <v>647</v>
      </c>
      <c r="C123" s="4"/>
      <c r="D123" s="4" t="s">
        <v>642</v>
      </c>
      <c r="E123" s="4"/>
      <c r="F123" s="4"/>
      <c r="G123" s="4"/>
      <c r="H123" s="4" t="s">
        <v>36</v>
      </c>
      <c r="I123" s="4" t="s">
        <v>36</v>
      </c>
      <c r="J123" s="4" t="s">
        <v>2145</v>
      </c>
      <c r="K123" s="4"/>
      <c r="L123" s="4"/>
    </row>
    <row r="124" customFormat="false" ht="15" hidden="false" customHeight="false" outlineLevel="0" collapsed="false">
      <c r="A124" s="4" t="s">
        <v>2146</v>
      </c>
      <c r="B124" s="4" t="s">
        <v>641</v>
      </c>
      <c r="C124" s="4"/>
      <c r="D124" s="4" t="s">
        <v>642</v>
      </c>
      <c r="E124" s="4"/>
      <c r="F124" s="4"/>
      <c r="G124" s="4"/>
      <c r="H124" s="4" t="s">
        <v>36</v>
      </c>
      <c r="I124" s="4" t="s">
        <v>36</v>
      </c>
      <c r="J124" s="4" t="s">
        <v>2147</v>
      </c>
      <c r="K124" s="4" t="s">
        <v>2148</v>
      </c>
      <c r="L124" s="4"/>
    </row>
    <row r="125" customFormat="false" ht="15" hidden="false" customHeight="false" outlineLevel="0" collapsed="false">
      <c r="A125" s="4" t="s">
        <v>2149</v>
      </c>
      <c r="B125" s="4" t="s">
        <v>666</v>
      </c>
      <c r="C125" s="4"/>
      <c r="D125" s="4" t="s">
        <v>642</v>
      </c>
      <c r="E125" s="4"/>
      <c r="F125" s="4"/>
      <c r="G125" s="4"/>
      <c r="H125" s="4" t="s">
        <v>36</v>
      </c>
      <c r="I125" s="4" t="s">
        <v>60</v>
      </c>
      <c r="J125" s="4" t="s">
        <v>2150</v>
      </c>
      <c r="K125" s="4"/>
      <c r="L125" s="4"/>
    </row>
    <row r="126" customFormat="false" ht="15" hidden="false" customHeight="false" outlineLevel="0" collapsed="false">
      <c r="A126" s="4" t="s">
        <v>2151</v>
      </c>
      <c r="B126" s="4" t="s">
        <v>698</v>
      </c>
      <c r="C126" s="4"/>
      <c r="D126" s="4" t="s">
        <v>642</v>
      </c>
      <c r="E126" s="4"/>
      <c r="F126" s="4"/>
      <c r="G126" s="4"/>
      <c r="H126" s="4" t="s">
        <v>60</v>
      </c>
      <c r="I126" s="4" t="s">
        <v>60</v>
      </c>
      <c r="J126" s="4" t="s">
        <v>2152</v>
      </c>
      <c r="K126" s="4"/>
      <c r="L126" s="4"/>
    </row>
    <row r="127" customFormat="false" ht="15" hidden="false" customHeight="false" outlineLevel="0" collapsed="false">
      <c r="A127" s="4" t="s">
        <v>2153</v>
      </c>
      <c r="B127" s="4" t="s">
        <v>662</v>
      </c>
      <c r="C127" s="4"/>
      <c r="D127" s="4" t="s">
        <v>642</v>
      </c>
      <c r="E127" s="4"/>
      <c r="F127" s="4"/>
      <c r="G127" s="4"/>
      <c r="H127" s="4" t="s">
        <v>60</v>
      </c>
      <c r="I127" s="4" t="s">
        <v>60</v>
      </c>
      <c r="J127" s="4" t="s">
        <v>2154</v>
      </c>
      <c r="K127" s="4"/>
      <c r="L127" s="4"/>
    </row>
    <row r="128" customFormat="false" ht="15" hidden="false" customHeight="false" outlineLevel="0" collapsed="false">
      <c r="A128" s="4" t="s">
        <v>2155</v>
      </c>
      <c r="B128" s="4" t="s">
        <v>682</v>
      </c>
      <c r="C128" s="4"/>
      <c r="D128" s="4" t="s">
        <v>642</v>
      </c>
      <c r="E128" s="4"/>
      <c r="F128" s="4"/>
      <c r="G128" s="4"/>
      <c r="H128" s="4" t="s">
        <v>60</v>
      </c>
      <c r="I128" s="4" t="s">
        <v>60</v>
      </c>
      <c r="J128" s="4" t="s">
        <v>2156</v>
      </c>
      <c r="K128" s="4"/>
      <c r="L128" s="4"/>
    </row>
    <row r="129" customFormat="false" ht="15" hidden="false" customHeight="false" outlineLevel="0" collapsed="false">
      <c r="A129" s="4" t="s">
        <v>2157</v>
      </c>
      <c r="B129" s="4" t="s">
        <v>694</v>
      </c>
      <c r="C129" s="4"/>
      <c r="D129" s="4" t="s">
        <v>642</v>
      </c>
      <c r="E129" s="4"/>
      <c r="F129" s="4"/>
      <c r="G129" s="4"/>
      <c r="H129" s="4" t="s">
        <v>60</v>
      </c>
      <c r="I129" s="4" t="s">
        <v>60</v>
      </c>
      <c r="J129" s="4" t="s">
        <v>2158</v>
      </c>
      <c r="K129" s="4"/>
      <c r="L129" s="4"/>
    </row>
    <row r="130" customFormat="false" ht="15" hidden="false" customHeight="false" outlineLevel="0" collapsed="false">
      <c r="A130" s="4" t="s">
        <v>2159</v>
      </c>
      <c r="B130" s="4" t="s">
        <v>658</v>
      </c>
      <c r="C130" s="4"/>
      <c r="D130" s="4" t="s">
        <v>642</v>
      </c>
      <c r="E130" s="4"/>
      <c r="F130" s="4"/>
      <c r="G130" s="4"/>
      <c r="H130" s="4" t="s">
        <v>36</v>
      </c>
      <c r="I130" s="4" t="s">
        <v>60</v>
      </c>
      <c r="J130" s="4" t="s">
        <v>2160</v>
      </c>
      <c r="K130" s="4"/>
      <c r="L130" s="4"/>
    </row>
    <row r="131" customFormat="false" ht="15" hidden="false" customHeight="false" outlineLevel="0" collapsed="false">
      <c r="A131" s="4" t="s">
        <v>2161</v>
      </c>
      <c r="B131" s="4" t="s">
        <v>702</v>
      </c>
      <c r="C131" s="4"/>
      <c r="D131" s="4" t="s">
        <v>642</v>
      </c>
      <c r="E131" s="4"/>
      <c r="F131" s="4"/>
      <c r="G131" s="4"/>
      <c r="H131" s="4" t="s">
        <v>60</v>
      </c>
      <c r="I131" s="4" t="s">
        <v>60</v>
      </c>
      <c r="J131" s="4" t="s">
        <v>2162</v>
      </c>
      <c r="K131" s="4"/>
      <c r="L131" s="4"/>
    </row>
    <row r="132" customFormat="false" ht="15" hidden="false" customHeight="false" outlineLevel="0" collapsed="false">
      <c r="A132" s="4" t="s">
        <v>2163</v>
      </c>
      <c r="B132" s="4" t="s">
        <v>670</v>
      </c>
      <c r="C132" s="4"/>
      <c r="D132" s="4" t="s">
        <v>642</v>
      </c>
      <c r="E132" s="4"/>
      <c r="F132" s="4"/>
      <c r="G132" s="4"/>
      <c r="H132" s="4" t="s">
        <v>36</v>
      </c>
      <c r="I132" s="4" t="s">
        <v>60</v>
      </c>
      <c r="J132" s="4" t="s">
        <v>2164</v>
      </c>
      <c r="K132" s="4"/>
      <c r="L132" s="4"/>
    </row>
    <row r="133" customFormat="false" ht="15" hidden="false" customHeight="false" outlineLevel="0" collapsed="false">
      <c r="A133" s="4" t="s">
        <v>2165</v>
      </c>
      <c r="B133" s="4" t="s">
        <v>690</v>
      </c>
      <c r="C133" s="4"/>
      <c r="D133" s="4" t="s">
        <v>642</v>
      </c>
      <c r="E133" s="4"/>
      <c r="F133" s="4"/>
      <c r="G133" s="4"/>
      <c r="H133" s="4" t="s">
        <v>60</v>
      </c>
      <c r="I133" s="4" t="s">
        <v>60</v>
      </c>
      <c r="J133" s="4" t="s">
        <v>2166</v>
      </c>
      <c r="K133" s="4"/>
      <c r="L133" s="4"/>
    </row>
    <row r="134" customFormat="false" ht="15" hidden="false" customHeight="false" outlineLevel="0" collapsed="false">
      <c r="A134" s="4" t="s">
        <v>2167</v>
      </c>
      <c r="B134" s="4" t="s">
        <v>674</v>
      </c>
      <c r="C134" s="4"/>
      <c r="D134" s="4" t="s">
        <v>642</v>
      </c>
      <c r="E134" s="4"/>
      <c r="F134" s="4"/>
      <c r="G134" s="4"/>
      <c r="H134" s="4" t="s">
        <v>60</v>
      </c>
      <c r="I134" s="4" t="s">
        <v>60</v>
      </c>
      <c r="J134" s="4" t="s">
        <v>2168</v>
      </c>
      <c r="K134" s="4"/>
      <c r="L134" s="4"/>
    </row>
    <row r="135" customFormat="false" ht="15" hidden="false" customHeight="false" outlineLevel="0" collapsed="false">
      <c r="A135" s="4" t="s">
        <v>2169</v>
      </c>
      <c r="B135" s="4" t="s">
        <v>678</v>
      </c>
      <c r="C135" s="4"/>
      <c r="D135" s="4" t="s">
        <v>642</v>
      </c>
      <c r="E135" s="4"/>
      <c r="F135" s="4"/>
      <c r="G135" s="4"/>
      <c r="H135" s="4" t="s">
        <v>60</v>
      </c>
      <c r="I135" s="4" t="s">
        <v>60</v>
      </c>
      <c r="J135" s="4" t="s">
        <v>2170</v>
      </c>
      <c r="K135" s="4"/>
      <c r="L135" s="4"/>
    </row>
    <row r="136" customFormat="false" ht="15" hidden="false" customHeight="false" outlineLevel="0" collapsed="false">
      <c r="A136" s="4" t="s">
        <v>2171</v>
      </c>
      <c r="B136" s="4" t="s">
        <v>765</v>
      </c>
      <c r="C136" s="4"/>
      <c r="D136" s="4" t="s">
        <v>707</v>
      </c>
      <c r="E136" s="4"/>
      <c r="F136" s="4"/>
      <c r="G136" s="4"/>
      <c r="H136" s="4" t="s">
        <v>60</v>
      </c>
      <c r="I136" s="4" t="s">
        <v>60</v>
      </c>
      <c r="J136" s="4" t="s">
        <v>2172</v>
      </c>
      <c r="K136" s="4"/>
      <c r="L136" s="4"/>
    </row>
    <row r="137" customFormat="false" ht="15" hidden="false" customHeight="false" outlineLevel="0" collapsed="false">
      <c r="A137" s="4" t="s">
        <v>2173</v>
      </c>
      <c r="B137" s="4" t="s">
        <v>501</v>
      </c>
      <c r="C137" s="4"/>
      <c r="D137" s="4" t="s">
        <v>707</v>
      </c>
      <c r="E137" s="4"/>
      <c r="F137" s="4"/>
      <c r="G137" s="4"/>
      <c r="H137" s="4" t="s">
        <v>36</v>
      </c>
      <c r="I137" s="4" t="s">
        <v>60</v>
      </c>
      <c r="J137" s="4" t="s">
        <v>2077</v>
      </c>
      <c r="K137" s="4"/>
      <c r="L137" s="4"/>
    </row>
    <row r="138" customFormat="false" ht="15" hidden="false" customHeight="false" outlineLevel="0" collapsed="false">
      <c r="A138" s="4" t="s">
        <v>2174</v>
      </c>
      <c r="B138" s="4" t="s">
        <v>756</v>
      </c>
      <c r="C138" s="4"/>
      <c r="D138" s="4" t="s">
        <v>707</v>
      </c>
      <c r="E138" s="4"/>
      <c r="F138" s="4"/>
      <c r="G138" s="4"/>
      <c r="H138" s="4" t="s">
        <v>60</v>
      </c>
      <c r="I138" s="4" t="s">
        <v>60</v>
      </c>
      <c r="J138" s="4" t="s">
        <v>2175</v>
      </c>
      <c r="K138" s="4"/>
      <c r="L138" s="4"/>
    </row>
    <row r="139" customFormat="false" ht="15" hidden="false" customHeight="false" outlineLevel="0" collapsed="false">
      <c r="A139" s="4" t="s">
        <v>2176</v>
      </c>
      <c r="B139" s="4" t="s">
        <v>720</v>
      </c>
      <c r="C139" s="4"/>
      <c r="D139" s="4" t="s">
        <v>707</v>
      </c>
      <c r="E139" s="4"/>
      <c r="F139" s="4"/>
      <c r="G139" s="4"/>
      <c r="H139" s="4" t="s">
        <v>60</v>
      </c>
      <c r="I139" s="4" t="s">
        <v>36</v>
      </c>
      <c r="J139" s="4" t="s">
        <v>2177</v>
      </c>
      <c r="K139" s="4"/>
      <c r="L139" s="4"/>
    </row>
    <row r="140" customFormat="false" ht="15" hidden="false" customHeight="false" outlineLevel="0" collapsed="false">
      <c r="A140" s="4" t="s">
        <v>2178</v>
      </c>
      <c r="B140" s="4" t="s">
        <v>744</v>
      </c>
      <c r="C140" s="4"/>
      <c r="D140" s="4" t="s">
        <v>707</v>
      </c>
      <c r="E140" s="4"/>
      <c r="F140" s="4"/>
      <c r="G140" s="4"/>
      <c r="H140" s="4" t="s">
        <v>60</v>
      </c>
      <c r="I140" s="4" t="s">
        <v>60</v>
      </c>
      <c r="J140" s="4" t="s">
        <v>2179</v>
      </c>
      <c r="K140" s="4"/>
      <c r="L140" s="4"/>
    </row>
    <row r="141" customFormat="false" ht="15" hidden="false" customHeight="false" outlineLevel="0" collapsed="false">
      <c r="A141" s="4" t="s">
        <v>2180</v>
      </c>
      <c r="B141" s="4" t="s">
        <v>748</v>
      </c>
      <c r="C141" s="4"/>
      <c r="D141" s="4" t="s">
        <v>707</v>
      </c>
      <c r="E141" s="4"/>
      <c r="F141" s="4"/>
      <c r="G141" s="4"/>
      <c r="H141" s="4" t="s">
        <v>60</v>
      </c>
      <c r="I141" s="4" t="s">
        <v>60</v>
      </c>
      <c r="J141" s="4" t="s">
        <v>2181</v>
      </c>
      <c r="K141" s="4"/>
      <c r="L141" s="4"/>
    </row>
    <row r="142" customFormat="false" ht="15" hidden="false" customHeight="false" outlineLevel="0" collapsed="false">
      <c r="A142" s="4" t="s">
        <v>2182</v>
      </c>
      <c r="B142" s="4" t="s">
        <v>724</v>
      </c>
      <c r="C142" s="4"/>
      <c r="D142" s="4" t="s">
        <v>707</v>
      </c>
      <c r="E142" s="4"/>
      <c r="F142" s="4"/>
      <c r="G142" s="4"/>
      <c r="H142" s="4" t="s">
        <v>60</v>
      </c>
      <c r="I142" s="4" t="s">
        <v>60</v>
      </c>
      <c r="J142" s="4" t="s">
        <v>2183</v>
      </c>
      <c r="K142" s="4"/>
      <c r="L142" s="4"/>
    </row>
    <row r="143" customFormat="false" ht="15" hidden="false" customHeight="false" outlineLevel="0" collapsed="false">
      <c r="A143" s="4" t="s">
        <v>2184</v>
      </c>
      <c r="B143" s="4" t="s">
        <v>716</v>
      </c>
      <c r="C143" s="4"/>
      <c r="D143" s="4" t="s">
        <v>707</v>
      </c>
      <c r="E143" s="4"/>
      <c r="F143" s="4"/>
      <c r="G143" s="4"/>
      <c r="H143" s="4" t="s">
        <v>60</v>
      </c>
      <c r="I143" s="4" t="s">
        <v>36</v>
      </c>
      <c r="J143" s="4" t="s">
        <v>2185</v>
      </c>
      <c r="K143" s="4"/>
      <c r="L143" s="4"/>
    </row>
    <row r="144" customFormat="false" ht="15" hidden="false" customHeight="false" outlineLevel="0" collapsed="false">
      <c r="A144" s="4" t="s">
        <v>2186</v>
      </c>
      <c r="B144" s="4" t="s">
        <v>728</v>
      </c>
      <c r="C144" s="4"/>
      <c r="D144" s="4" t="s">
        <v>707</v>
      </c>
      <c r="E144" s="4"/>
      <c r="F144" s="4"/>
      <c r="G144" s="4"/>
      <c r="H144" s="4" t="s">
        <v>60</v>
      </c>
      <c r="I144" s="4" t="s">
        <v>60</v>
      </c>
      <c r="J144" s="4" t="s">
        <v>2187</v>
      </c>
      <c r="K144" s="4"/>
      <c r="L144" s="4"/>
    </row>
    <row r="145" customFormat="false" ht="15" hidden="false" customHeight="false" outlineLevel="0" collapsed="false">
      <c r="A145" s="4" t="s">
        <v>2188</v>
      </c>
      <c r="B145" s="4" t="s">
        <v>752</v>
      </c>
      <c r="C145" s="4"/>
      <c r="D145" s="4" t="s">
        <v>707</v>
      </c>
      <c r="E145" s="4"/>
      <c r="F145" s="4"/>
      <c r="G145" s="4"/>
      <c r="H145" s="4" t="s">
        <v>60</v>
      </c>
      <c r="I145" s="4" t="s">
        <v>60</v>
      </c>
      <c r="J145" s="4" t="s">
        <v>2189</v>
      </c>
      <c r="K145" s="4"/>
      <c r="L145" s="4"/>
    </row>
    <row r="146" customFormat="false" ht="15" hidden="false" customHeight="false" outlineLevel="0" collapsed="false">
      <c r="A146" s="4" t="s">
        <v>2190</v>
      </c>
      <c r="B146" s="4" t="s">
        <v>760</v>
      </c>
      <c r="C146" s="4"/>
      <c r="D146" s="4" t="s">
        <v>707</v>
      </c>
      <c r="E146" s="4"/>
      <c r="F146" s="4"/>
      <c r="G146" s="4"/>
      <c r="H146" s="4" t="s">
        <v>60</v>
      </c>
      <c r="I146" s="4" t="s">
        <v>60</v>
      </c>
      <c r="J146" s="4" t="s">
        <v>2191</v>
      </c>
      <c r="K146" s="4"/>
      <c r="L146" s="4"/>
    </row>
    <row r="147" customFormat="false" ht="15" hidden="false" customHeight="false" outlineLevel="0" collapsed="false">
      <c r="A147" s="4" t="s">
        <v>2192</v>
      </c>
      <c r="B147" s="4" t="s">
        <v>706</v>
      </c>
      <c r="C147" s="4"/>
      <c r="D147" s="4" t="s">
        <v>707</v>
      </c>
      <c r="E147" s="4"/>
      <c r="F147" s="4"/>
      <c r="G147" s="4"/>
      <c r="H147" s="4" t="s">
        <v>36</v>
      </c>
      <c r="I147" s="4" t="s">
        <v>36</v>
      </c>
      <c r="J147" s="4" t="s">
        <v>2193</v>
      </c>
      <c r="K147" s="4"/>
      <c r="L147" s="4"/>
    </row>
    <row r="148" customFormat="false" ht="15" hidden="false" customHeight="false" outlineLevel="0" collapsed="false">
      <c r="A148" s="4" t="s">
        <v>2194</v>
      </c>
      <c r="B148" s="4" t="s">
        <v>733</v>
      </c>
      <c r="C148" s="4"/>
      <c r="D148" s="4" t="s">
        <v>707</v>
      </c>
      <c r="E148" s="4"/>
      <c r="F148" s="4"/>
      <c r="G148" s="4"/>
      <c r="H148" s="4" t="s">
        <v>60</v>
      </c>
      <c r="I148" s="4" t="s">
        <v>60</v>
      </c>
      <c r="J148" s="4" t="s">
        <v>2195</v>
      </c>
      <c r="K148" s="4"/>
      <c r="L148" s="4"/>
    </row>
    <row r="149" customFormat="false" ht="15" hidden="false" customHeight="false" outlineLevel="0" collapsed="false">
      <c r="A149" s="4" t="s">
        <v>2196</v>
      </c>
      <c r="B149" s="4" t="s">
        <v>737</v>
      </c>
      <c r="C149" s="4"/>
      <c r="D149" s="4" t="s">
        <v>707</v>
      </c>
      <c r="E149" s="4"/>
      <c r="F149" s="4"/>
      <c r="G149" s="4"/>
      <c r="H149" s="4" t="s">
        <v>60</v>
      </c>
      <c r="I149" s="4" t="s">
        <v>60</v>
      </c>
      <c r="J149" s="4" t="s">
        <v>2197</v>
      </c>
      <c r="K149" s="4"/>
      <c r="L149" s="4"/>
    </row>
    <row r="150" customFormat="false" ht="15" hidden="false" customHeight="false" outlineLevel="0" collapsed="false">
      <c r="A150" s="4" t="s">
        <v>2198</v>
      </c>
      <c r="B150" s="4" t="s">
        <v>788</v>
      </c>
      <c r="C150" s="4"/>
      <c r="D150" s="4" t="s">
        <v>770</v>
      </c>
      <c r="E150" s="4"/>
      <c r="F150" s="4"/>
      <c r="G150" s="4"/>
      <c r="H150" s="4" t="s">
        <v>60</v>
      </c>
      <c r="I150" s="4" t="s">
        <v>60</v>
      </c>
      <c r="J150" s="4" t="s">
        <v>2199</v>
      </c>
      <c r="K150" s="4"/>
      <c r="L150" s="4"/>
    </row>
    <row r="151" customFormat="false" ht="15" hidden="false" customHeight="false" outlineLevel="0" collapsed="false">
      <c r="A151" s="4" t="s">
        <v>2200</v>
      </c>
      <c r="B151" s="4" t="s">
        <v>797</v>
      </c>
      <c r="C151" s="4"/>
      <c r="D151" s="4" t="s">
        <v>770</v>
      </c>
      <c r="E151" s="4"/>
      <c r="F151" s="4"/>
      <c r="G151" s="4"/>
      <c r="H151" s="4" t="s">
        <v>60</v>
      </c>
      <c r="I151" s="4" t="s">
        <v>60</v>
      </c>
      <c r="J151" s="4" t="s">
        <v>2201</v>
      </c>
      <c r="K151" s="4"/>
      <c r="L151" s="4"/>
    </row>
    <row r="152" customFormat="false" ht="15" hidden="false" customHeight="false" outlineLevel="0" collapsed="false">
      <c r="A152" s="4" t="s">
        <v>2202</v>
      </c>
      <c r="B152" s="4" t="s">
        <v>784</v>
      </c>
      <c r="C152" s="4"/>
      <c r="D152" s="4" t="s">
        <v>770</v>
      </c>
      <c r="E152" s="4"/>
      <c r="F152" s="4"/>
      <c r="G152" s="4"/>
      <c r="H152" s="4" t="s">
        <v>36</v>
      </c>
      <c r="I152" s="4" t="s">
        <v>36</v>
      </c>
      <c r="J152" s="4" t="s">
        <v>2203</v>
      </c>
      <c r="K152" s="4"/>
      <c r="L152" s="4"/>
    </row>
    <row r="153" customFormat="false" ht="15" hidden="false" customHeight="false" outlineLevel="0" collapsed="false">
      <c r="A153" s="4" t="s">
        <v>2204</v>
      </c>
      <c r="B153" s="4" t="s">
        <v>805</v>
      </c>
      <c r="C153" s="4"/>
      <c r="D153" s="4" t="s">
        <v>770</v>
      </c>
      <c r="E153" s="4"/>
      <c r="F153" s="4"/>
      <c r="G153" s="4"/>
      <c r="H153" s="4" t="s">
        <v>60</v>
      </c>
      <c r="I153" s="4" t="s">
        <v>60</v>
      </c>
      <c r="J153" s="4" t="s">
        <v>2205</v>
      </c>
      <c r="K153" s="4"/>
      <c r="L153" s="4"/>
    </row>
    <row r="154" customFormat="false" ht="15" hidden="false" customHeight="false" outlineLevel="0" collapsed="false">
      <c r="A154" s="4" t="s">
        <v>2206</v>
      </c>
      <c r="B154" s="4" t="s">
        <v>801</v>
      </c>
      <c r="C154" s="4"/>
      <c r="D154" s="4" t="s">
        <v>770</v>
      </c>
      <c r="E154" s="4"/>
      <c r="F154" s="4"/>
      <c r="G154" s="4"/>
      <c r="H154" s="4" t="s">
        <v>60</v>
      </c>
      <c r="I154" s="4" t="s">
        <v>60</v>
      </c>
      <c r="J154" s="4" t="s">
        <v>2207</v>
      </c>
      <c r="K154" s="4"/>
      <c r="L154" s="4"/>
    </row>
    <row r="155" customFormat="false" ht="15" hidden="false" customHeight="false" outlineLevel="0" collapsed="false">
      <c r="A155" s="4" t="s">
        <v>2208</v>
      </c>
      <c r="B155" s="4" t="s">
        <v>793</v>
      </c>
      <c r="C155" s="4"/>
      <c r="D155" s="4" t="s">
        <v>770</v>
      </c>
      <c r="E155" s="4"/>
      <c r="F155" s="4"/>
      <c r="G155" s="4"/>
      <c r="H155" s="4" t="s">
        <v>60</v>
      </c>
      <c r="I155" s="4" t="s">
        <v>60</v>
      </c>
      <c r="J155" s="4" t="s">
        <v>2209</v>
      </c>
      <c r="K155" s="4"/>
      <c r="L155" s="4"/>
    </row>
    <row r="156" customFormat="false" ht="15" hidden="false" customHeight="false" outlineLevel="0" collapsed="false">
      <c r="A156" s="4" t="s">
        <v>2210</v>
      </c>
      <c r="B156" s="4" t="s">
        <v>779</v>
      </c>
      <c r="C156" s="4"/>
      <c r="D156" s="4" t="s">
        <v>770</v>
      </c>
      <c r="E156" s="4"/>
      <c r="F156" s="4"/>
      <c r="G156" s="4"/>
      <c r="H156" s="4" t="s">
        <v>36</v>
      </c>
      <c r="I156" s="4" t="s">
        <v>36</v>
      </c>
      <c r="J156" s="4" t="s">
        <v>2211</v>
      </c>
      <c r="K156" s="4"/>
      <c r="L156" s="4"/>
    </row>
    <row r="157" customFormat="false" ht="15" hidden="false" customHeight="false" outlineLevel="0" collapsed="false">
      <c r="A157" s="4" t="s">
        <v>2212</v>
      </c>
      <c r="B157" s="4" t="s">
        <v>809</v>
      </c>
      <c r="C157" s="4"/>
      <c r="D157" s="4" t="s">
        <v>770</v>
      </c>
      <c r="E157" s="4"/>
      <c r="F157" s="4"/>
      <c r="G157" s="4"/>
      <c r="H157" s="4" t="s">
        <v>60</v>
      </c>
      <c r="I157" s="4" t="s">
        <v>60</v>
      </c>
      <c r="J157" s="4" t="s">
        <v>2213</v>
      </c>
      <c r="K157" s="4" t="s">
        <v>2214</v>
      </c>
      <c r="L157" s="4"/>
    </row>
    <row r="158" customFormat="false" ht="15" hidden="false" customHeight="false" outlineLevel="0" collapsed="false">
      <c r="A158" s="4" t="s">
        <v>2215</v>
      </c>
      <c r="B158" s="4" t="s">
        <v>769</v>
      </c>
      <c r="C158" s="4"/>
      <c r="D158" s="4" t="s">
        <v>770</v>
      </c>
      <c r="E158" s="4"/>
      <c r="F158" s="4"/>
      <c r="G158" s="4"/>
      <c r="H158" s="4" t="s">
        <v>36</v>
      </c>
      <c r="I158" s="4" t="s">
        <v>36</v>
      </c>
      <c r="J158" s="4" t="s">
        <v>2216</v>
      </c>
      <c r="K158" s="4"/>
      <c r="L158" s="4"/>
    </row>
    <row r="159" customFormat="false" ht="15" hidden="false" customHeight="false" outlineLevel="0" collapsed="false">
      <c r="A159" s="4" t="s">
        <v>2217</v>
      </c>
      <c r="B159" s="4" t="s">
        <v>866</v>
      </c>
      <c r="C159" s="4"/>
      <c r="D159" s="4" t="s">
        <v>815</v>
      </c>
      <c r="E159" s="4"/>
      <c r="F159" s="4"/>
      <c r="G159" s="4"/>
      <c r="H159" s="4" t="s">
        <v>60</v>
      </c>
      <c r="I159" s="4" t="s">
        <v>60</v>
      </c>
      <c r="J159" s="4" t="s">
        <v>2218</v>
      </c>
      <c r="K159" s="4" t="s">
        <v>2219</v>
      </c>
      <c r="L159" s="4"/>
    </row>
    <row r="160" customFormat="false" ht="15" hidden="false" customHeight="false" outlineLevel="0" collapsed="false">
      <c r="A160" s="4" t="s">
        <v>2220</v>
      </c>
      <c r="B160" s="4" t="s">
        <v>843</v>
      </c>
      <c r="C160" s="4"/>
      <c r="D160" s="4" t="s">
        <v>815</v>
      </c>
      <c r="E160" s="4"/>
      <c r="F160" s="4"/>
      <c r="G160" s="4"/>
      <c r="H160" s="4" t="s">
        <v>60</v>
      </c>
      <c r="I160" s="4" t="s">
        <v>36</v>
      </c>
      <c r="J160" s="4" t="s">
        <v>2221</v>
      </c>
      <c r="K160" s="4" t="s">
        <v>2222</v>
      </c>
      <c r="L160" s="4"/>
    </row>
    <row r="161" customFormat="false" ht="15" hidden="false" customHeight="false" outlineLevel="0" collapsed="false">
      <c r="A161" s="4" t="s">
        <v>2223</v>
      </c>
      <c r="B161" s="4" t="s">
        <v>814</v>
      </c>
      <c r="C161" s="4"/>
      <c r="D161" s="4" t="s">
        <v>815</v>
      </c>
      <c r="E161" s="4"/>
      <c r="F161" s="4"/>
      <c r="G161" s="4"/>
      <c r="H161" s="4" t="s">
        <v>36</v>
      </c>
      <c r="I161" s="4" t="s">
        <v>36</v>
      </c>
      <c r="J161" s="4" t="s">
        <v>2224</v>
      </c>
      <c r="K161" s="4" t="s">
        <v>2225</v>
      </c>
      <c r="L161" s="4"/>
    </row>
    <row r="162" customFormat="false" ht="15" hidden="false" customHeight="false" outlineLevel="0" collapsed="false">
      <c r="A162" s="4" t="s">
        <v>2226</v>
      </c>
      <c r="B162" s="4" t="s">
        <v>894</v>
      </c>
      <c r="C162" s="4"/>
      <c r="D162" s="4" t="s">
        <v>815</v>
      </c>
      <c r="E162" s="4"/>
      <c r="F162" s="4"/>
      <c r="G162" s="4"/>
      <c r="H162" s="4" t="s">
        <v>60</v>
      </c>
      <c r="I162" s="4" t="s">
        <v>60</v>
      </c>
      <c r="J162" s="4" t="s">
        <v>2227</v>
      </c>
      <c r="K162" s="4"/>
      <c r="L162" s="4"/>
    </row>
    <row r="163" customFormat="false" ht="15" hidden="false" customHeight="false" outlineLevel="0" collapsed="false">
      <c r="A163" s="4" t="s">
        <v>2228</v>
      </c>
      <c r="B163" s="4" t="s">
        <v>858</v>
      </c>
      <c r="C163" s="4"/>
      <c r="D163" s="4" t="s">
        <v>815</v>
      </c>
      <c r="E163" s="4"/>
      <c r="F163" s="4"/>
      <c r="G163" s="4"/>
      <c r="H163" s="4" t="s">
        <v>60</v>
      </c>
      <c r="I163" s="4" t="s">
        <v>60</v>
      </c>
      <c r="J163" s="4" t="s">
        <v>2229</v>
      </c>
      <c r="K163" s="4"/>
      <c r="L163" s="4"/>
    </row>
    <row r="164" customFormat="false" ht="15" hidden="false" customHeight="false" outlineLevel="0" collapsed="false">
      <c r="A164" s="4" t="s">
        <v>2230</v>
      </c>
      <c r="B164" s="4" t="s">
        <v>890</v>
      </c>
      <c r="C164" s="4"/>
      <c r="D164" s="4" t="s">
        <v>815</v>
      </c>
      <c r="E164" s="4"/>
      <c r="F164" s="4"/>
      <c r="G164" s="4"/>
      <c r="H164" s="4" t="s">
        <v>60</v>
      </c>
      <c r="I164" s="4" t="s">
        <v>60</v>
      </c>
      <c r="J164" s="4" t="s">
        <v>2231</v>
      </c>
      <c r="K164" s="4"/>
      <c r="L164" s="4"/>
    </row>
    <row r="165" customFormat="false" ht="15" hidden="false" customHeight="false" outlineLevel="0" collapsed="false">
      <c r="A165" s="4" t="s">
        <v>2232</v>
      </c>
      <c r="B165" s="4" t="s">
        <v>876</v>
      </c>
      <c r="C165" s="4"/>
      <c r="D165" s="4" t="s">
        <v>815</v>
      </c>
      <c r="E165" s="4"/>
      <c r="F165" s="4"/>
      <c r="G165" s="4"/>
      <c r="H165" s="4" t="s">
        <v>60</v>
      </c>
      <c r="I165" s="4" t="s">
        <v>60</v>
      </c>
      <c r="J165" s="4" t="s">
        <v>2233</v>
      </c>
      <c r="K165" s="4"/>
      <c r="L165" s="4"/>
    </row>
    <row r="166" customFormat="false" ht="15" hidden="false" customHeight="false" outlineLevel="0" collapsed="false">
      <c r="A166" s="4" t="s">
        <v>2234</v>
      </c>
      <c r="B166" s="4" t="s">
        <v>838</v>
      </c>
      <c r="C166" s="4"/>
      <c r="D166" s="4" t="s">
        <v>815</v>
      </c>
      <c r="E166" s="4"/>
      <c r="F166" s="4"/>
      <c r="G166" s="4"/>
      <c r="H166" s="4" t="s">
        <v>36</v>
      </c>
      <c r="I166" s="4" t="s">
        <v>36</v>
      </c>
      <c r="J166" s="4" t="s">
        <v>2235</v>
      </c>
      <c r="K166" s="4" t="s">
        <v>2236</v>
      </c>
      <c r="L166" s="4"/>
    </row>
    <row r="167" customFormat="false" ht="15" hidden="false" customHeight="false" outlineLevel="0" collapsed="false">
      <c r="A167" s="4" t="s">
        <v>2237</v>
      </c>
      <c r="B167" s="4" t="s">
        <v>848</v>
      </c>
      <c r="C167" s="4"/>
      <c r="D167" s="4" t="s">
        <v>815</v>
      </c>
      <c r="E167" s="4"/>
      <c r="F167" s="4"/>
      <c r="G167" s="4"/>
      <c r="H167" s="4" t="s">
        <v>60</v>
      </c>
      <c r="I167" s="4" t="s">
        <v>60</v>
      </c>
      <c r="J167" s="4" t="s">
        <v>2238</v>
      </c>
      <c r="K167" s="4" t="s">
        <v>2239</v>
      </c>
      <c r="L167" s="4"/>
    </row>
    <row r="168" customFormat="false" ht="15" hidden="false" customHeight="false" outlineLevel="0" collapsed="false">
      <c r="A168" s="4" t="s">
        <v>2240</v>
      </c>
      <c r="B168" s="4" t="s">
        <v>885</v>
      </c>
      <c r="C168" s="4"/>
      <c r="D168" s="4" t="s">
        <v>815</v>
      </c>
      <c r="E168" s="4"/>
      <c r="F168" s="4"/>
      <c r="G168" s="4"/>
      <c r="H168" s="4" t="s">
        <v>60</v>
      </c>
      <c r="I168" s="4" t="s">
        <v>60</v>
      </c>
      <c r="J168" s="4" t="s">
        <v>2241</v>
      </c>
      <c r="K168" s="4"/>
      <c r="L168" s="4"/>
    </row>
    <row r="169" customFormat="false" ht="15" hidden="false" customHeight="false" outlineLevel="0" collapsed="false">
      <c r="A169" s="4" t="s">
        <v>2242</v>
      </c>
      <c r="B169" s="4" t="s">
        <v>833</v>
      </c>
      <c r="C169" s="4"/>
      <c r="D169" s="4" t="s">
        <v>815</v>
      </c>
      <c r="E169" s="4"/>
      <c r="F169" s="4"/>
      <c r="G169" s="4"/>
      <c r="H169" s="4" t="s">
        <v>36</v>
      </c>
      <c r="I169" s="4" t="s">
        <v>36</v>
      </c>
      <c r="J169" s="4" t="s">
        <v>2243</v>
      </c>
      <c r="K169" s="4" t="s">
        <v>2244</v>
      </c>
      <c r="L169" s="4"/>
    </row>
    <row r="170" customFormat="false" ht="15" hidden="false" customHeight="false" outlineLevel="0" collapsed="false">
      <c r="A170" s="4" t="s">
        <v>2245</v>
      </c>
      <c r="B170" s="4" t="s">
        <v>828</v>
      </c>
      <c r="C170" s="4"/>
      <c r="D170" s="4" t="s">
        <v>815</v>
      </c>
      <c r="E170" s="4"/>
      <c r="F170" s="4"/>
      <c r="G170" s="4"/>
      <c r="H170" s="4" t="s">
        <v>36</v>
      </c>
      <c r="I170" s="4" t="s">
        <v>36</v>
      </c>
      <c r="J170" s="4" t="s">
        <v>2246</v>
      </c>
      <c r="K170" s="4" t="s">
        <v>2247</v>
      </c>
      <c r="L170" s="4"/>
    </row>
    <row r="171" customFormat="false" ht="15" hidden="false" customHeight="false" outlineLevel="0" collapsed="false">
      <c r="A171" s="4" t="s">
        <v>2248</v>
      </c>
      <c r="B171" s="4" t="s">
        <v>853</v>
      </c>
      <c r="C171" s="4"/>
      <c r="D171" s="4" t="s">
        <v>815</v>
      </c>
      <c r="E171" s="4"/>
      <c r="F171" s="4"/>
      <c r="G171" s="4"/>
      <c r="H171" s="4" t="s">
        <v>60</v>
      </c>
      <c r="I171" s="4" t="s">
        <v>60</v>
      </c>
      <c r="J171" s="4" t="s">
        <v>2249</v>
      </c>
      <c r="K171" s="4" t="s">
        <v>2250</v>
      </c>
      <c r="L171" s="4"/>
    </row>
    <row r="172" customFormat="false" ht="15" hidden="false" customHeight="false" outlineLevel="0" collapsed="false">
      <c r="A172" s="4" t="s">
        <v>2251</v>
      </c>
      <c r="B172" s="4" t="s">
        <v>880</v>
      </c>
      <c r="C172" s="4"/>
      <c r="D172" s="4" t="s">
        <v>815</v>
      </c>
      <c r="E172" s="4"/>
      <c r="F172" s="4"/>
      <c r="G172" s="4"/>
      <c r="H172" s="4" t="s">
        <v>60</v>
      </c>
      <c r="I172" s="4" t="s">
        <v>60</v>
      </c>
      <c r="J172" s="4" t="s">
        <v>2252</v>
      </c>
      <c r="K172" s="4" t="s">
        <v>2253</v>
      </c>
      <c r="L172" s="4"/>
    </row>
    <row r="173" customFormat="false" ht="15" hidden="false" customHeight="false" outlineLevel="0" collapsed="false">
      <c r="A173" s="4" t="s">
        <v>2254</v>
      </c>
      <c r="B173" s="4" t="s">
        <v>862</v>
      </c>
      <c r="C173" s="4"/>
      <c r="D173" s="4" t="s">
        <v>815</v>
      </c>
      <c r="E173" s="4"/>
      <c r="F173" s="4"/>
      <c r="G173" s="4"/>
      <c r="H173" s="4" t="s">
        <v>60</v>
      </c>
      <c r="I173" s="4" t="s">
        <v>60</v>
      </c>
      <c r="J173" s="4" t="s">
        <v>2255</v>
      </c>
      <c r="K173" s="4"/>
      <c r="L173" s="4"/>
    </row>
    <row r="174" customFormat="false" ht="15" hidden="false" customHeight="false" outlineLevel="0" collapsed="false">
      <c r="A174" s="4" t="s">
        <v>2256</v>
      </c>
      <c r="B174" s="4" t="s">
        <v>871</v>
      </c>
      <c r="C174" s="4"/>
      <c r="D174" s="4" t="s">
        <v>815</v>
      </c>
      <c r="E174" s="4"/>
      <c r="F174" s="4"/>
      <c r="G174" s="4"/>
      <c r="H174" s="4" t="s">
        <v>60</v>
      </c>
      <c r="I174" s="4" t="s">
        <v>60</v>
      </c>
      <c r="J174" s="4" t="s">
        <v>2257</v>
      </c>
      <c r="K174" s="4" t="s">
        <v>2258</v>
      </c>
      <c r="L174" s="4"/>
    </row>
    <row r="175" customFormat="false" ht="15" hidden="false" customHeight="false" outlineLevel="0" collapsed="false">
      <c r="A175" s="4" t="s">
        <v>2259</v>
      </c>
      <c r="B175" s="4" t="s">
        <v>942</v>
      </c>
      <c r="C175" s="4"/>
      <c r="D175" s="4" t="s">
        <v>900</v>
      </c>
      <c r="E175" s="4"/>
      <c r="F175" s="4"/>
      <c r="G175" s="4"/>
      <c r="H175" s="4" t="s">
        <v>60</v>
      </c>
      <c r="I175" s="4" t="s">
        <v>60</v>
      </c>
      <c r="J175" s="4" t="s">
        <v>2260</v>
      </c>
      <c r="K175" s="4"/>
      <c r="L175" s="4"/>
    </row>
    <row r="176" customFormat="false" ht="15" hidden="false" customHeight="false" outlineLevel="0" collapsed="false">
      <c r="A176" s="4" t="s">
        <v>2261</v>
      </c>
      <c r="B176" s="4" t="s">
        <v>905</v>
      </c>
      <c r="C176" s="4"/>
      <c r="D176" s="4" t="s">
        <v>900</v>
      </c>
      <c r="E176" s="4"/>
      <c r="F176" s="4"/>
      <c r="G176" s="4"/>
      <c r="H176" s="4" t="s">
        <v>36</v>
      </c>
      <c r="I176" s="4" t="s">
        <v>36</v>
      </c>
      <c r="J176" s="4" t="s">
        <v>2262</v>
      </c>
      <c r="K176" s="4"/>
      <c r="L176" s="4"/>
    </row>
    <row r="177" customFormat="false" ht="15" hidden="false" customHeight="false" outlineLevel="0" collapsed="false">
      <c r="A177" s="4" t="s">
        <v>2263</v>
      </c>
      <c r="B177" s="4" t="s">
        <v>934</v>
      </c>
      <c r="C177" s="4"/>
      <c r="D177" s="4" t="s">
        <v>900</v>
      </c>
      <c r="E177" s="4"/>
      <c r="F177" s="4"/>
      <c r="G177" s="4"/>
      <c r="H177" s="4" t="s">
        <v>60</v>
      </c>
      <c r="I177" s="4" t="s">
        <v>60</v>
      </c>
      <c r="J177" s="4" t="s">
        <v>2264</v>
      </c>
      <c r="K177" s="4"/>
      <c r="L177" s="4"/>
    </row>
    <row r="178" customFormat="false" ht="15" hidden="false" customHeight="false" outlineLevel="0" collapsed="false">
      <c r="A178" s="4" t="s">
        <v>2265</v>
      </c>
      <c r="B178" s="4" t="s">
        <v>951</v>
      </c>
      <c r="C178" s="4"/>
      <c r="D178" s="4" t="s">
        <v>900</v>
      </c>
      <c r="E178" s="4"/>
      <c r="F178" s="4"/>
      <c r="G178" s="4"/>
      <c r="H178" s="4" t="s">
        <v>60</v>
      </c>
      <c r="I178" s="4" t="s">
        <v>60</v>
      </c>
      <c r="J178" s="4" t="s">
        <v>2266</v>
      </c>
      <c r="K178" s="4"/>
      <c r="L178" s="4"/>
    </row>
    <row r="179" customFormat="false" ht="15" hidden="false" customHeight="false" outlineLevel="0" collapsed="false">
      <c r="A179" s="4" t="s">
        <v>2267</v>
      </c>
      <c r="B179" s="4" t="s">
        <v>910</v>
      </c>
      <c r="C179" s="4"/>
      <c r="D179" s="4" t="s">
        <v>900</v>
      </c>
      <c r="E179" s="4"/>
      <c r="F179" s="4"/>
      <c r="G179" s="4"/>
      <c r="H179" s="4" t="s">
        <v>36</v>
      </c>
      <c r="I179" s="4" t="s">
        <v>36</v>
      </c>
      <c r="J179" s="4" t="s">
        <v>2268</v>
      </c>
      <c r="K179" s="4" t="s">
        <v>2269</v>
      </c>
      <c r="L179" s="4"/>
    </row>
    <row r="180" customFormat="false" ht="15" hidden="false" customHeight="false" outlineLevel="0" collapsed="false">
      <c r="A180" s="4" t="s">
        <v>2270</v>
      </c>
      <c r="B180" s="4" t="s">
        <v>929</v>
      </c>
      <c r="C180" s="4"/>
      <c r="D180" s="4" t="s">
        <v>900</v>
      </c>
      <c r="E180" s="4"/>
      <c r="F180" s="4"/>
      <c r="G180" s="4"/>
      <c r="H180" s="4" t="s">
        <v>60</v>
      </c>
      <c r="I180" s="4" t="s">
        <v>60</v>
      </c>
      <c r="J180" s="4" t="s">
        <v>2271</v>
      </c>
      <c r="K180" s="4"/>
      <c r="L180" s="4"/>
    </row>
    <row r="181" customFormat="false" ht="15" hidden="false" customHeight="false" outlineLevel="0" collapsed="false">
      <c r="A181" s="4" t="s">
        <v>2272</v>
      </c>
      <c r="B181" s="4" t="s">
        <v>925</v>
      </c>
      <c r="C181" s="4"/>
      <c r="D181" s="4" t="s">
        <v>900</v>
      </c>
      <c r="E181" s="4"/>
      <c r="F181" s="4"/>
      <c r="G181" s="4"/>
      <c r="H181" s="4" t="s">
        <v>60</v>
      </c>
      <c r="I181" s="4" t="s">
        <v>60</v>
      </c>
      <c r="J181" s="4" t="s">
        <v>2273</v>
      </c>
      <c r="K181" s="4"/>
      <c r="L181" s="4"/>
    </row>
    <row r="182" customFormat="false" ht="15" hidden="false" customHeight="false" outlineLevel="0" collapsed="false">
      <c r="A182" s="4" t="s">
        <v>2274</v>
      </c>
      <c r="B182" s="4" t="s">
        <v>915</v>
      </c>
      <c r="C182" s="4"/>
      <c r="D182" s="4" t="s">
        <v>900</v>
      </c>
      <c r="E182" s="4"/>
      <c r="F182" s="4"/>
      <c r="G182" s="4"/>
      <c r="H182" s="4" t="s">
        <v>36</v>
      </c>
      <c r="I182" s="4" t="s">
        <v>36</v>
      </c>
      <c r="J182" s="4" t="s">
        <v>2275</v>
      </c>
      <c r="K182" s="4" t="s">
        <v>2276</v>
      </c>
      <c r="L182" s="4"/>
    </row>
    <row r="183" customFormat="false" ht="15" hidden="false" customHeight="false" outlineLevel="0" collapsed="false">
      <c r="A183" s="4" t="s">
        <v>2277</v>
      </c>
      <c r="B183" s="4" t="s">
        <v>947</v>
      </c>
      <c r="C183" s="4"/>
      <c r="D183" s="4" t="s">
        <v>900</v>
      </c>
      <c r="E183" s="4"/>
      <c r="F183" s="4"/>
      <c r="G183" s="4"/>
      <c r="H183" s="4" t="s">
        <v>60</v>
      </c>
      <c r="I183" s="4" t="s">
        <v>60</v>
      </c>
      <c r="J183" s="4" t="s">
        <v>2278</v>
      </c>
      <c r="K183" s="4"/>
      <c r="L183" s="4"/>
    </row>
    <row r="184" customFormat="false" ht="15" hidden="false" customHeight="false" outlineLevel="0" collapsed="false">
      <c r="A184" s="4" t="s">
        <v>2279</v>
      </c>
      <c r="B184" s="4" t="s">
        <v>955</v>
      </c>
      <c r="C184" s="4"/>
      <c r="D184" s="4" t="s">
        <v>900</v>
      </c>
      <c r="E184" s="4"/>
      <c r="F184" s="4"/>
      <c r="G184" s="4"/>
      <c r="H184" s="4" t="s">
        <v>60</v>
      </c>
      <c r="I184" s="4" t="s">
        <v>60</v>
      </c>
      <c r="J184" s="4" t="s">
        <v>2280</v>
      </c>
      <c r="K184" s="4"/>
      <c r="L184" s="4"/>
    </row>
    <row r="185" customFormat="false" ht="15" hidden="false" customHeight="false" outlineLevel="0" collapsed="false">
      <c r="A185" s="4" t="s">
        <v>2281</v>
      </c>
      <c r="B185" s="4" t="s">
        <v>938</v>
      </c>
      <c r="C185" s="4"/>
      <c r="D185" s="4" t="s">
        <v>900</v>
      </c>
      <c r="E185" s="4"/>
      <c r="F185" s="4"/>
      <c r="G185" s="4"/>
      <c r="H185" s="4" t="s">
        <v>60</v>
      </c>
      <c r="I185" s="4" t="s">
        <v>60</v>
      </c>
      <c r="J185" s="4" t="s">
        <v>2282</v>
      </c>
      <c r="K185" s="4"/>
      <c r="L185" s="4"/>
    </row>
    <row r="186" customFormat="false" ht="15" hidden="false" customHeight="false" outlineLevel="0" collapsed="false">
      <c r="A186" s="4" t="s">
        <v>2283</v>
      </c>
      <c r="B186" s="4" t="s">
        <v>959</v>
      </c>
      <c r="C186" s="4"/>
      <c r="D186" s="4" t="s">
        <v>900</v>
      </c>
      <c r="E186" s="4"/>
      <c r="F186" s="4"/>
      <c r="G186" s="4"/>
      <c r="H186" s="4" t="s">
        <v>60</v>
      </c>
      <c r="I186" s="4" t="s">
        <v>60</v>
      </c>
      <c r="J186" s="4" t="s">
        <v>2284</v>
      </c>
      <c r="K186" s="4"/>
      <c r="L186" s="4"/>
    </row>
    <row r="187" customFormat="false" ht="15" hidden="false" customHeight="false" outlineLevel="0" collapsed="false">
      <c r="A187" s="4" t="s">
        <v>2285</v>
      </c>
      <c r="B187" s="4" t="s">
        <v>899</v>
      </c>
      <c r="C187" s="4"/>
      <c r="D187" s="4" t="s">
        <v>900</v>
      </c>
      <c r="E187" s="4"/>
      <c r="F187" s="4"/>
      <c r="G187" s="4"/>
      <c r="H187" s="4" t="s">
        <v>36</v>
      </c>
      <c r="I187" s="4" t="s">
        <v>36</v>
      </c>
      <c r="J187" s="4" t="s">
        <v>2286</v>
      </c>
      <c r="K187" s="4" t="s">
        <v>2287</v>
      </c>
      <c r="L187" s="4"/>
    </row>
    <row r="188" customFormat="false" ht="15" hidden="false" customHeight="false" outlineLevel="0" collapsed="false">
      <c r="A188" s="4" t="s">
        <v>2288</v>
      </c>
      <c r="B188" s="4" t="s">
        <v>920</v>
      </c>
      <c r="C188" s="4"/>
      <c r="D188" s="4" t="s">
        <v>900</v>
      </c>
      <c r="E188" s="4"/>
      <c r="F188" s="4"/>
      <c r="G188" s="4"/>
      <c r="H188" s="4" t="s">
        <v>60</v>
      </c>
      <c r="I188" s="4" t="s">
        <v>36</v>
      </c>
      <c r="J188" s="4" t="s">
        <v>2289</v>
      </c>
      <c r="K188" s="4"/>
      <c r="L188" s="4"/>
    </row>
    <row r="189" customFormat="false" ht="15" hidden="false" customHeight="false" outlineLevel="0" collapsed="false">
      <c r="A189" s="4" t="s">
        <v>2290</v>
      </c>
      <c r="B189" s="4" t="s">
        <v>963</v>
      </c>
      <c r="C189" s="4"/>
      <c r="D189" s="4" t="s">
        <v>964</v>
      </c>
      <c r="E189" s="4"/>
      <c r="F189" s="4"/>
      <c r="G189" s="4"/>
      <c r="H189" s="4" t="s">
        <v>36</v>
      </c>
      <c r="I189" s="4" t="s">
        <v>36</v>
      </c>
      <c r="J189" s="4" t="s">
        <v>2291</v>
      </c>
      <c r="K189" s="4"/>
      <c r="L189" s="4"/>
    </row>
    <row r="190" customFormat="false" ht="15" hidden="false" customHeight="false" outlineLevel="0" collapsed="false">
      <c r="A190" s="4" t="s">
        <v>2292</v>
      </c>
      <c r="B190" s="4" t="s">
        <v>1013</v>
      </c>
      <c r="C190" s="4"/>
      <c r="D190" s="4" t="s">
        <v>964</v>
      </c>
      <c r="E190" s="4"/>
      <c r="F190" s="4"/>
      <c r="G190" s="4"/>
      <c r="H190" s="4" t="s">
        <v>60</v>
      </c>
      <c r="I190" s="4" t="s">
        <v>60</v>
      </c>
      <c r="J190" s="4" t="s">
        <v>2293</v>
      </c>
      <c r="K190" s="4"/>
      <c r="L190" s="4"/>
    </row>
    <row r="191" customFormat="false" ht="15" hidden="false" customHeight="false" outlineLevel="0" collapsed="false">
      <c r="A191" s="4" t="s">
        <v>2294</v>
      </c>
      <c r="B191" s="4" t="s">
        <v>1017</v>
      </c>
      <c r="C191" s="4"/>
      <c r="D191" s="4" t="s">
        <v>964</v>
      </c>
      <c r="E191" s="4"/>
      <c r="F191" s="4"/>
      <c r="G191" s="4"/>
      <c r="H191" s="4" t="s">
        <v>60</v>
      </c>
      <c r="I191" s="4" t="s">
        <v>60</v>
      </c>
      <c r="J191" s="4" t="s">
        <v>2295</v>
      </c>
      <c r="K191" s="4"/>
      <c r="L191" s="4"/>
    </row>
    <row r="192" customFormat="false" ht="15" hidden="false" customHeight="false" outlineLevel="0" collapsed="false">
      <c r="A192" s="4" t="s">
        <v>2296</v>
      </c>
      <c r="B192" s="4" t="s">
        <v>978</v>
      </c>
      <c r="C192" s="4"/>
      <c r="D192" s="4" t="s">
        <v>964</v>
      </c>
      <c r="E192" s="4"/>
      <c r="F192" s="4"/>
      <c r="G192" s="4"/>
      <c r="H192" s="4" t="s">
        <v>36</v>
      </c>
      <c r="I192" s="4" t="s">
        <v>36</v>
      </c>
      <c r="J192" s="4" t="s">
        <v>2297</v>
      </c>
      <c r="K192" s="4"/>
      <c r="L192" s="4"/>
    </row>
    <row r="193" customFormat="false" ht="15" hidden="false" customHeight="false" outlineLevel="0" collapsed="false">
      <c r="A193" s="4" t="s">
        <v>2298</v>
      </c>
      <c r="B193" s="4" t="s">
        <v>969</v>
      </c>
      <c r="C193" s="4"/>
      <c r="D193" s="4" t="s">
        <v>964</v>
      </c>
      <c r="E193" s="4"/>
      <c r="F193" s="4"/>
      <c r="G193" s="4"/>
      <c r="H193" s="4" t="s">
        <v>36</v>
      </c>
      <c r="I193" s="4" t="s">
        <v>36</v>
      </c>
      <c r="J193" s="4" t="s">
        <v>2299</v>
      </c>
      <c r="K193" s="4"/>
      <c r="L193" s="4"/>
    </row>
    <row r="194" customFormat="false" ht="15" hidden="false" customHeight="false" outlineLevel="0" collapsed="false">
      <c r="A194" s="4" t="s">
        <v>2300</v>
      </c>
      <c r="B194" s="4" t="s">
        <v>983</v>
      </c>
      <c r="C194" s="4"/>
      <c r="D194" s="4" t="s">
        <v>964</v>
      </c>
      <c r="E194" s="4"/>
      <c r="F194" s="4"/>
      <c r="G194" s="4"/>
      <c r="H194" s="4" t="s">
        <v>36</v>
      </c>
      <c r="I194" s="4" t="s">
        <v>36</v>
      </c>
      <c r="J194" s="4" t="s">
        <v>2301</v>
      </c>
      <c r="K194" s="4"/>
      <c r="L194" s="4"/>
    </row>
    <row r="195" customFormat="false" ht="15" hidden="false" customHeight="false" outlineLevel="0" collapsed="false">
      <c r="A195" s="4" t="s">
        <v>2302</v>
      </c>
      <c r="B195" s="4" t="s">
        <v>1009</v>
      </c>
      <c r="C195" s="4"/>
      <c r="D195" s="4" t="s">
        <v>964</v>
      </c>
      <c r="E195" s="4"/>
      <c r="F195" s="4"/>
      <c r="G195" s="4"/>
      <c r="H195" s="4" t="s">
        <v>60</v>
      </c>
      <c r="I195" s="4" t="s">
        <v>60</v>
      </c>
      <c r="J195" s="4" t="s">
        <v>2303</v>
      </c>
      <c r="K195" s="4"/>
      <c r="L195" s="4"/>
    </row>
    <row r="196" customFormat="false" ht="15" hidden="false" customHeight="false" outlineLevel="0" collapsed="false">
      <c r="A196" s="4" t="s">
        <v>2304</v>
      </c>
      <c r="B196" s="4" t="s">
        <v>1005</v>
      </c>
      <c r="C196" s="4"/>
      <c r="D196" s="4" t="s">
        <v>964</v>
      </c>
      <c r="E196" s="4"/>
      <c r="F196" s="4"/>
      <c r="G196" s="4"/>
      <c r="H196" s="4" t="s">
        <v>60</v>
      </c>
      <c r="I196" s="4" t="s">
        <v>60</v>
      </c>
      <c r="J196" s="4" t="s">
        <v>2305</v>
      </c>
      <c r="K196" s="4"/>
      <c r="L196" s="4"/>
    </row>
    <row r="197" customFormat="false" ht="15" hidden="false" customHeight="false" outlineLevel="0" collapsed="false">
      <c r="A197" s="4" t="s">
        <v>2306</v>
      </c>
      <c r="B197" s="4" t="s">
        <v>993</v>
      </c>
      <c r="C197" s="4"/>
      <c r="D197" s="4" t="s">
        <v>964</v>
      </c>
      <c r="E197" s="4"/>
      <c r="F197" s="4"/>
      <c r="G197" s="4"/>
      <c r="H197" s="4" t="s">
        <v>60</v>
      </c>
      <c r="I197" s="4" t="s">
        <v>60</v>
      </c>
      <c r="J197" s="4" t="s">
        <v>2307</v>
      </c>
      <c r="K197" s="4"/>
      <c r="L197" s="4"/>
    </row>
    <row r="198" customFormat="false" ht="15" hidden="false" customHeight="false" outlineLevel="0" collapsed="false">
      <c r="A198" s="4" t="s">
        <v>2308</v>
      </c>
      <c r="B198" s="4" t="s">
        <v>997</v>
      </c>
      <c r="C198" s="4"/>
      <c r="D198" s="4" t="s">
        <v>964</v>
      </c>
      <c r="E198" s="4"/>
      <c r="F198" s="4"/>
      <c r="G198" s="4"/>
      <c r="H198" s="4" t="s">
        <v>60</v>
      </c>
      <c r="I198" s="4" t="s">
        <v>60</v>
      </c>
      <c r="J198" s="4" t="s">
        <v>2309</v>
      </c>
      <c r="K198" s="4"/>
      <c r="L198" s="4"/>
    </row>
    <row r="199" customFormat="false" ht="15" hidden="false" customHeight="false" outlineLevel="0" collapsed="false">
      <c r="A199" s="4" t="s">
        <v>2310</v>
      </c>
      <c r="B199" s="4" t="s">
        <v>1001</v>
      </c>
      <c r="C199" s="4"/>
      <c r="D199" s="4" t="s">
        <v>964</v>
      </c>
      <c r="E199" s="4"/>
      <c r="F199" s="4"/>
      <c r="G199" s="4"/>
      <c r="H199" s="4" t="s">
        <v>60</v>
      </c>
      <c r="I199" s="4" t="s">
        <v>60</v>
      </c>
      <c r="J199" s="4" t="s">
        <v>2311</v>
      </c>
      <c r="K199" s="4"/>
      <c r="L199" s="4"/>
    </row>
    <row r="200" customFormat="false" ht="15" hidden="false" customHeight="false" outlineLevel="0" collapsed="false">
      <c r="A200" s="4" t="s">
        <v>2312</v>
      </c>
      <c r="B200" s="4" t="s">
        <v>988</v>
      </c>
      <c r="C200" s="4"/>
      <c r="D200" s="4" t="s">
        <v>964</v>
      </c>
      <c r="E200" s="4"/>
      <c r="F200" s="4"/>
      <c r="G200" s="4"/>
      <c r="H200" s="4" t="s">
        <v>60</v>
      </c>
      <c r="I200" s="4" t="s">
        <v>60</v>
      </c>
      <c r="J200" s="4" t="s">
        <v>2313</v>
      </c>
      <c r="K200" s="4"/>
      <c r="L200" s="4"/>
    </row>
    <row r="201" customFormat="false" ht="15" hidden="false" customHeight="false" outlineLevel="0" collapsed="false">
      <c r="A201" s="4" t="s">
        <v>2314</v>
      </c>
      <c r="B201" s="4" t="s">
        <v>1106</v>
      </c>
      <c r="C201" s="4"/>
      <c r="D201" s="4" t="s">
        <v>1023</v>
      </c>
      <c r="E201" s="4"/>
      <c r="F201" s="4"/>
      <c r="G201" s="4"/>
      <c r="H201" s="4" t="s">
        <v>60</v>
      </c>
      <c r="I201" s="4" t="s">
        <v>60</v>
      </c>
      <c r="J201" s="4" t="s">
        <v>2315</v>
      </c>
      <c r="K201" s="4"/>
      <c r="L201" s="4"/>
    </row>
    <row r="202" customFormat="false" ht="15" hidden="false" customHeight="false" outlineLevel="0" collapsed="false">
      <c r="A202" s="4" t="s">
        <v>2316</v>
      </c>
      <c r="B202" s="4" t="s">
        <v>1078</v>
      </c>
      <c r="C202" s="4"/>
      <c r="D202" s="4" t="s">
        <v>1023</v>
      </c>
      <c r="E202" s="4"/>
      <c r="F202" s="4"/>
      <c r="G202" s="4"/>
      <c r="H202" s="4" t="s">
        <v>60</v>
      </c>
      <c r="I202" s="4" t="s">
        <v>60</v>
      </c>
      <c r="J202" s="4" t="s">
        <v>2317</v>
      </c>
      <c r="K202" s="4"/>
      <c r="L202" s="4"/>
    </row>
    <row r="203" customFormat="false" ht="15" hidden="false" customHeight="false" outlineLevel="0" collapsed="false">
      <c r="A203" s="4" t="s">
        <v>2318</v>
      </c>
      <c r="B203" s="4" t="s">
        <v>1064</v>
      </c>
      <c r="C203" s="4"/>
      <c r="D203" s="4" t="s">
        <v>1023</v>
      </c>
      <c r="E203" s="4"/>
      <c r="F203" s="4"/>
      <c r="G203" s="4"/>
      <c r="H203" s="4" t="s">
        <v>36</v>
      </c>
      <c r="I203" s="4" t="s">
        <v>36</v>
      </c>
      <c r="J203" s="4" t="s">
        <v>2319</v>
      </c>
      <c r="K203" s="4" t="s">
        <v>2320</v>
      </c>
      <c r="L203" s="4"/>
    </row>
    <row r="204" customFormat="false" ht="15" hidden="false" customHeight="false" outlineLevel="0" collapsed="false">
      <c r="A204" s="4" t="s">
        <v>2321</v>
      </c>
      <c r="B204" s="4" t="s">
        <v>1102</v>
      </c>
      <c r="C204" s="4"/>
      <c r="D204" s="4" t="s">
        <v>1023</v>
      </c>
      <c r="E204" s="4"/>
      <c r="F204" s="4"/>
      <c r="G204" s="4"/>
      <c r="H204" s="4" t="s">
        <v>60</v>
      </c>
      <c r="I204" s="4" t="s">
        <v>60</v>
      </c>
      <c r="J204" s="4" t="s">
        <v>2322</v>
      </c>
      <c r="K204" s="4"/>
      <c r="L204" s="4"/>
    </row>
    <row r="205" customFormat="false" ht="15" hidden="false" customHeight="false" outlineLevel="0" collapsed="false">
      <c r="A205" s="4" t="s">
        <v>2323</v>
      </c>
      <c r="B205" s="4" t="s">
        <v>1069</v>
      </c>
      <c r="C205" s="4"/>
      <c r="D205" s="4" t="s">
        <v>1023</v>
      </c>
      <c r="E205" s="4"/>
      <c r="F205" s="4"/>
      <c r="G205" s="4"/>
      <c r="H205" s="4" t="s">
        <v>60</v>
      </c>
      <c r="I205" s="4" t="s">
        <v>60</v>
      </c>
      <c r="J205" s="4" t="s">
        <v>2324</v>
      </c>
      <c r="K205" s="4"/>
      <c r="L205" s="4"/>
    </row>
    <row r="206" customFormat="false" ht="15" hidden="false" customHeight="false" outlineLevel="0" collapsed="false">
      <c r="A206" s="4" t="s">
        <v>2325</v>
      </c>
      <c r="B206" s="4" t="s">
        <v>1098</v>
      </c>
      <c r="C206" s="4"/>
      <c r="D206" s="4" t="s">
        <v>1023</v>
      </c>
      <c r="E206" s="4"/>
      <c r="F206" s="4"/>
      <c r="G206" s="4"/>
      <c r="H206" s="4" t="s">
        <v>60</v>
      </c>
      <c r="I206" s="4" t="s">
        <v>60</v>
      </c>
      <c r="J206" s="4" t="s">
        <v>2326</v>
      </c>
      <c r="K206" s="4"/>
      <c r="L206" s="4"/>
    </row>
    <row r="207" customFormat="false" ht="15" hidden="false" customHeight="false" outlineLevel="0" collapsed="false">
      <c r="A207" s="4" t="s">
        <v>2327</v>
      </c>
      <c r="B207" s="4" t="s">
        <v>1110</v>
      </c>
      <c r="C207" s="4"/>
      <c r="D207" s="4" t="s">
        <v>1023</v>
      </c>
      <c r="E207" s="4"/>
      <c r="F207" s="4"/>
      <c r="G207" s="4"/>
      <c r="H207" s="4" t="s">
        <v>60</v>
      </c>
      <c r="I207" s="4" t="s">
        <v>60</v>
      </c>
      <c r="J207" s="4" t="s">
        <v>2328</v>
      </c>
      <c r="K207" s="4"/>
      <c r="L207" s="4"/>
    </row>
    <row r="208" customFormat="false" ht="15" hidden="false" customHeight="false" outlineLevel="0" collapsed="false">
      <c r="A208" s="4" t="s">
        <v>2329</v>
      </c>
      <c r="B208" s="4" t="s">
        <v>1022</v>
      </c>
      <c r="C208" s="4"/>
      <c r="D208" s="4" t="s">
        <v>1023</v>
      </c>
      <c r="E208" s="4"/>
      <c r="F208" s="4"/>
      <c r="G208" s="4"/>
      <c r="H208" s="4" t="s">
        <v>36</v>
      </c>
      <c r="I208" s="4" t="s">
        <v>36</v>
      </c>
      <c r="J208" s="4" t="s">
        <v>2330</v>
      </c>
      <c r="K208" s="4"/>
      <c r="L208" s="4"/>
    </row>
    <row r="209" customFormat="false" ht="15" hidden="false" customHeight="false" outlineLevel="0" collapsed="false">
      <c r="A209" s="4" t="s">
        <v>2331</v>
      </c>
      <c r="B209" s="4" t="s">
        <v>1054</v>
      </c>
      <c r="C209" s="4"/>
      <c r="D209" s="4" t="s">
        <v>1023</v>
      </c>
      <c r="E209" s="4"/>
      <c r="F209" s="4"/>
      <c r="G209" s="4"/>
      <c r="H209" s="4" t="s">
        <v>36</v>
      </c>
      <c r="I209" s="4" t="s">
        <v>36</v>
      </c>
      <c r="J209" s="4" t="s">
        <v>2332</v>
      </c>
      <c r="K209" s="4"/>
      <c r="L209" s="4"/>
    </row>
    <row r="210" customFormat="false" ht="15" hidden="false" customHeight="false" outlineLevel="0" collapsed="false">
      <c r="A210" s="4" t="s">
        <v>2333</v>
      </c>
      <c r="B210" s="4" t="s">
        <v>1082</v>
      </c>
      <c r="C210" s="4"/>
      <c r="D210" s="4" t="s">
        <v>1023</v>
      </c>
      <c r="E210" s="4"/>
      <c r="F210" s="4"/>
      <c r="G210" s="4"/>
      <c r="H210" s="4" t="s">
        <v>60</v>
      </c>
      <c r="I210" s="4" t="s">
        <v>60</v>
      </c>
      <c r="J210" s="4" t="s">
        <v>2334</v>
      </c>
      <c r="K210" s="4"/>
      <c r="L210" s="4"/>
    </row>
    <row r="211" customFormat="false" ht="15" hidden="false" customHeight="false" outlineLevel="0" collapsed="false">
      <c r="A211" s="4" t="s">
        <v>2335</v>
      </c>
      <c r="B211" s="4" t="s">
        <v>1059</v>
      </c>
      <c r="C211" s="4"/>
      <c r="D211" s="4" t="s">
        <v>1023</v>
      </c>
      <c r="E211" s="4"/>
      <c r="F211" s="4"/>
      <c r="G211" s="4"/>
      <c r="H211" s="4" t="s">
        <v>36</v>
      </c>
      <c r="I211" s="4" t="s">
        <v>36</v>
      </c>
      <c r="J211" s="4" t="s">
        <v>2336</v>
      </c>
      <c r="K211" s="4"/>
      <c r="L211" s="4"/>
    </row>
    <row r="212" customFormat="false" ht="15" hidden="false" customHeight="false" outlineLevel="0" collapsed="false">
      <c r="A212" s="4" t="s">
        <v>2337</v>
      </c>
      <c r="B212" s="4" t="s">
        <v>1041</v>
      </c>
      <c r="C212" s="4"/>
      <c r="D212" s="4" t="s">
        <v>1023</v>
      </c>
      <c r="E212" s="4"/>
      <c r="F212" s="4"/>
      <c r="G212" s="4"/>
      <c r="H212" s="4" t="s">
        <v>36</v>
      </c>
      <c r="I212" s="4" t="s">
        <v>36</v>
      </c>
      <c r="J212" s="4" t="s">
        <v>2338</v>
      </c>
      <c r="K212" s="4"/>
      <c r="L212" s="4"/>
    </row>
    <row r="213" customFormat="false" ht="15" hidden="false" customHeight="false" outlineLevel="0" collapsed="false">
      <c r="A213" s="4" t="s">
        <v>2339</v>
      </c>
      <c r="B213" s="4" t="s">
        <v>1086</v>
      </c>
      <c r="C213" s="4"/>
      <c r="D213" s="4" t="s">
        <v>1023</v>
      </c>
      <c r="E213" s="4"/>
      <c r="F213" s="4"/>
      <c r="G213" s="4"/>
      <c r="H213" s="4" t="s">
        <v>60</v>
      </c>
      <c r="I213" s="4" t="s">
        <v>60</v>
      </c>
      <c r="J213" s="4" t="s">
        <v>2340</v>
      </c>
      <c r="K213" s="4"/>
      <c r="L213" s="4"/>
    </row>
    <row r="214" customFormat="false" ht="15" hidden="false" customHeight="false" outlineLevel="0" collapsed="false">
      <c r="A214" s="4" t="s">
        <v>2341</v>
      </c>
      <c r="B214" s="4" t="s">
        <v>1094</v>
      </c>
      <c r="C214" s="4"/>
      <c r="D214" s="4" t="s">
        <v>1023</v>
      </c>
      <c r="E214" s="4"/>
      <c r="F214" s="4"/>
      <c r="G214" s="4"/>
      <c r="H214" s="4" t="s">
        <v>60</v>
      </c>
      <c r="I214" s="4" t="s">
        <v>60</v>
      </c>
      <c r="J214" s="4" t="s">
        <v>2342</v>
      </c>
      <c r="K214" s="4"/>
      <c r="L214" s="4"/>
    </row>
    <row r="215" customFormat="false" ht="15" hidden="false" customHeight="false" outlineLevel="0" collapsed="false">
      <c r="A215" s="4" t="s">
        <v>2343</v>
      </c>
      <c r="B215" s="4" t="s">
        <v>1090</v>
      </c>
      <c r="C215" s="4"/>
      <c r="D215" s="4" t="s">
        <v>1023</v>
      </c>
      <c r="E215" s="4"/>
      <c r="F215" s="4"/>
      <c r="G215" s="4"/>
      <c r="H215" s="4" t="s">
        <v>60</v>
      </c>
      <c r="I215" s="4" t="s">
        <v>60</v>
      </c>
      <c r="J215" s="4" t="s">
        <v>2344</v>
      </c>
      <c r="K215" s="4"/>
      <c r="L215" s="4"/>
    </row>
    <row r="216" customFormat="false" ht="15" hidden="false" customHeight="false" outlineLevel="0" collapsed="false">
      <c r="A216" s="4" t="s">
        <v>2345</v>
      </c>
      <c r="B216" s="4" t="s">
        <v>1074</v>
      </c>
      <c r="C216" s="4"/>
      <c r="D216" s="4" t="s">
        <v>1023</v>
      </c>
      <c r="E216" s="4"/>
      <c r="F216" s="4"/>
      <c r="G216" s="4"/>
      <c r="H216" s="4" t="s">
        <v>60</v>
      </c>
      <c r="I216" s="4" t="s">
        <v>60</v>
      </c>
      <c r="J216" s="4" t="s">
        <v>2346</v>
      </c>
      <c r="K216" s="4"/>
      <c r="L216" s="4"/>
    </row>
    <row r="217" customFormat="false" ht="15" hidden="false" customHeight="false" outlineLevel="0" collapsed="false">
      <c r="A217" s="4" t="s">
        <v>2347</v>
      </c>
      <c r="B217" s="4" t="s">
        <v>1036</v>
      </c>
      <c r="C217" s="4"/>
      <c r="D217" s="4" t="s">
        <v>1023</v>
      </c>
      <c r="E217" s="4"/>
      <c r="F217" s="4"/>
      <c r="G217" s="4"/>
      <c r="H217" s="4" t="s">
        <v>36</v>
      </c>
      <c r="I217" s="4" t="s">
        <v>36</v>
      </c>
      <c r="J217" s="4" t="s">
        <v>2348</v>
      </c>
      <c r="K217" s="4"/>
      <c r="L217" s="4"/>
    </row>
    <row r="218" customFormat="false" ht="15" hidden="false" customHeight="false" outlineLevel="0" collapsed="false">
      <c r="A218" s="4" t="s">
        <v>2349</v>
      </c>
      <c r="B218" s="4" t="s">
        <v>204</v>
      </c>
      <c r="C218" s="4"/>
      <c r="D218" s="4" t="s">
        <v>1115</v>
      </c>
      <c r="E218" s="4"/>
      <c r="F218" s="4"/>
      <c r="G218" s="4"/>
      <c r="H218" s="4" t="s">
        <v>60</v>
      </c>
      <c r="I218" s="4" t="s">
        <v>60</v>
      </c>
      <c r="J218" s="4" t="s">
        <v>1917</v>
      </c>
      <c r="K218" s="4"/>
      <c r="L218" s="4"/>
    </row>
    <row r="219" customFormat="false" ht="15" hidden="false" customHeight="false" outlineLevel="0" collapsed="false">
      <c r="A219" s="4" t="s">
        <v>2350</v>
      </c>
      <c r="B219" s="4" t="s">
        <v>1120</v>
      </c>
      <c r="C219" s="4"/>
      <c r="D219" s="4" t="s">
        <v>1115</v>
      </c>
      <c r="E219" s="4"/>
      <c r="F219" s="4"/>
      <c r="G219" s="4"/>
      <c r="H219" s="4" t="s">
        <v>60</v>
      </c>
      <c r="I219" s="4" t="s">
        <v>60</v>
      </c>
      <c r="J219" s="4" t="s">
        <v>2351</v>
      </c>
      <c r="K219" s="4"/>
      <c r="L219" s="4"/>
    </row>
    <row r="220" customFormat="false" ht="15" hidden="false" customHeight="false" outlineLevel="0" collapsed="false">
      <c r="A220" s="4" t="s">
        <v>2352</v>
      </c>
      <c r="B220" s="4" t="s">
        <v>1114</v>
      </c>
      <c r="C220" s="4"/>
      <c r="D220" s="4" t="s">
        <v>1115</v>
      </c>
      <c r="E220" s="4"/>
      <c r="F220" s="4"/>
      <c r="G220" s="4"/>
      <c r="H220" s="4" t="s">
        <v>36</v>
      </c>
      <c r="I220" s="4" t="s">
        <v>36</v>
      </c>
      <c r="J220" s="4" t="s">
        <v>2353</v>
      </c>
      <c r="K220" s="4"/>
      <c r="L220" s="4"/>
    </row>
    <row r="221" customFormat="false" ht="15" hidden="false" customHeight="false" outlineLevel="0" collapsed="false">
      <c r="A221" s="4" t="s">
        <v>2354</v>
      </c>
      <c r="B221" s="4" t="s">
        <v>1135</v>
      </c>
      <c r="C221" s="4"/>
      <c r="D221" s="4" t="s">
        <v>1115</v>
      </c>
      <c r="E221" s="4"/>
      <c r="F221" s="4"/>
      <c r="G221" s="4"/>
      <c r="H221" s="4" t="s">
        <v>60</v>
      </c>
      <c r="I221" s="4" t="s">
        <v>60</v>
      </c>
      <c r="J221" s="4" t="s">
        <v>2355</v>
      </c>
      <c r="K221" s="4"/>
      <c r="L221" s="4"/>
    </row>
    <row r="222" customFormat="false" ht="15" hidden="false" customHeight="false" outlineLevel="0" collapsed="false">
      <c r="A222" s="4" t="s">
        <v>2356</v>
      </c>
      <c r="B222" s="4" t="s">
        <v>1128</v>
      </c>
      <c r="C222" s="4"/>
      <c r="D222" s="4" t="s">
        <v>1115</v>
      </c>
      <c r="E222" s="4"/>
      <c r="F222" s="4"/>
      <c r="G222" s="4"/>
      <c r="H222" s="4" t="s">
        <v>60</v>
      </c>
      <c r="I222" s="4" t="s">
        <v>60</v>
      </c>
      <c r="J222" s="4" t="s">
        <v>2357</v>
      </c>
      <c r="K222" s="4"/>
      <c r="L222" s="4"/>
    </row>
    <row r="223" customFormat="false" ht="15" hidden="false" customHeight="false" outlineLevel="0" collapsed="false">
      <c r="A223" s="4" t="s">
        <v>2358</v>
      </c>
      <c r="B223" s="4" t="s">
        <v>1124</v>
      </c>
      <c r="C223" s="4"/>
      <c r="D223" s="4" t="s">
        <v>1115</v>
      </c>
      <c r="E223" s="4"/>
      <c r="F223" s="4"/>
      <c r="G223" s="4"/>
      <c r="H223" s="4" t="s">
        <v>60</v>
      </c>
      <c r="I223" s="4" t="s">
        <v>60</v>
      </c>
      <c r="J223" s="4" t="s">
        <v>2359</v>
      </c>
      <c r="K223" s="4"/>
      <c r="L223" s="4"/>
    </row>
    <row r="224" customFormat="false" ht="15" hidden="false" customHeight="false" outlineLevel="0" collapsed="false">
      <c r="A224" s="4" t="s">
        <v>2360</v>
      </c>
      <c r="B224" s="4" t="s">
        <v>1149</v>
      </c>
      <c r="C224" s="4"/>
      <c r="D224" s="4" t="s">
        <v>1140</v>
      </c>
      <c r="E224" s="4"/>
      <c r="F224" s="4"/>
      <c r="G224" s="4"/>
      <c r="H224" s="4" t="s">
        <v>60</v>
      </c>
      <c r="I224" s="4" t="s">
        <v>60</v>
      </c>
      <c r="J224" s="4" t="s">
        <v>2361</v>
      </c>
      <c r="K224" s="4"/>
      <c r="L224" s="4"/>
    </row>
    <row r="225" customFormat="false" ht="15" hidden="false" customHeight="false" outlineLevel="0" collapsed="false">
      <c r="A225" s="4" t="s">
        <v>2362</v>
      </c>
      <c r="B225" s="4" t="s">
        <v>1153</v>
      </c>
      <c r="C225" s="4"/>
      <c r="D225" s="4" t="s">
        <v>1140</v>
      </c>
      <c r="E225" s="4"/>
      <c r="F225" s="4"/>
      <c r="G225" s="4"/>
      <c r="H225" s="4" t="s">
        <v>60</v>
      </c>
      <c r="I225" s="4" t="s">
        <v>60</v>
      </c>
      <c r="J225" s="4" t="s">
        <v>2363</v>
      </c>
      <c r="K225" s="4"/>
      <c r="L225" s="4"/>
    </row>
    <row r="226" customFormat="false" ht="15" hidden="false" customHeight="false" outlineLevel="0" collapsed="false">
      <c r="A226" s="4" t="s">
        <v>2364</v>
      </c>
      <c r="B226" s="4" t="s">
        <v>1139</v>
      </c>
      <c r="C226" s="4"/>
      <c r="D226" s="4" t="s">
        <v>1140</v>
      </c>
      <c r="E226" s="4"/>
      <c r="F226" s="4"/>
      <c r="G226" s="4"/>
      <c r="H226" s="4" t="s">
        <v>36</v>
      </c>
      <c r="I226" s="4" t="s">
        <v>36</v>
      </c>
      <c r="J226" s="4" t="s">
        <v>2365</v>
      </c>
      <c r="K226" s="4"/>
      <c r="L226" s="4"/>
    </row>
    <row r="227" customFormat="false" ht="15" hidden="false" customHeight="false" outlineLevel="0" collapsed="false">
      <c r="A227" s="4" t="s">
        <v>2366</v>
      </c>
      <c r="B227" s="4" t="s">
        <v>1161</v>
      </c>
      <c r="C227" s="4"/>
      <c r="D227" s="4" t="s">
        <v>1140</v>
      </c>
      <c r="E227" s="4"/>
      <c r="F227" s="4"/>
      <c r="G227" s="4"/>
      <c r="H227" s="4" t="s">
        <v>60</v>
      </c>
      <c r="I227" s="4" t="s">
        <v>60</v>
      </c>
      <c r="J227" s="4" t="s">
        <v>2367</v>
      </c>
      <c r="K227" s="4" t="s">
        <v>2368</v>
      </c>
      <c r="L227" s="4"/>
    </row>
    <row r="228" customFormat="false" ht="15" hidden="false" customHeight="false" outlineLevel="0" collapsed="false">
      <c r="A228" s="4" t="s">
        <v>2369</v>
      </c>
      <c r="B228" s="4" t="s">
        <v>1145</v>
      </c>
      <c r="C228" s="4"/>
      <c r="D228" s="4" t="s">
        <v>1140</v>
      </c>
      <c r="E228" s="4"/>
      <c r="F228" s="4"/>
      <c r="G228" s="4"/>
      <c r="H228" s="4" t="s">
        <v>60</v>
      </c>
      <c r="I228" s="4" t="s">
        <v>36</v>
      </c>
      <c r="J228" s="4" t="s">
        <v>2370</v>
      </c>
      <c r="K228" s="4"/>
      <c r="L228" s="4"/>
    </row>
    <row r="229" customFormat="false" ht="15" hidden="false" customHeight="false" outlineLevel="0" collapsed="false">
      <c r="A229" s="4" t="s">
        <v>2371</v>
      </c>
      <c r="B229" s="4" t="s">
        <v>1157</v>
      </c>
      <c r="C229" s="4"/>
      <c r="D229" s="4" t="s">
        <v>1140</v>
      </c>
      <c r="E229" s="4"/>
      <c r="F229" s="4"/>
      <c r="G229" s="4"/>
      <c r="H229" s="4" t="s">
        <v>60</v>
      </c>
      <c r="I229" s="4" t="s">
        <v>60</v>
      </c>
      <c r="J229" s="4" t="s">
        <v>2372</v>
      </c>
      <c r="K229" s="4"/>
      <c r="L229" s="4"/>
    </row>
    <row r="230" customFormat="false" ht="15" hidden="false" customHeight="false" outlineLevel="0" collapsed="false">
      <c r="A230" s="4" t="s">
        <v>2373</v>
      </c>
      <c r="B230" s="4" t="s">
        <v>1166</v>
      </c>
      <c r="C230" s="4"/>
      <c r="D230" s="4" t="s">
        <v>1167</v>
      </c>
      <c r="E230" s="4"/>
      <c r="F230" s="4"/>
      <c r="G230" s="4"/>
      <c r="H230" s="4" t="s">
        <v>36</v>
      </c>
      <c r="I230" s="4" t="s">
        <v>36</v>
      </c>
      <c r="J230" s="4" t="s">
        <v>2374</v>
      </c>
      <c r="K230" s="4"/>
      <c r="L230" s="4"/>
    </row>
    <row r="231" customFormat="false" ht="15" hidden="false" customHeight="false" outlineLevel="0" collapsed="false">
      <c r="A231" s="4" t="s">
        <v>2375</v>
      </c>
      <c r="B231" s="4" t="s">
        <v>1176</v>
      </c>
      <c r="C231" s="4"/>
      <c r="D231" s="4" t="s">
        <v>1167</v>
      </c>
      <c r="E231" s="4"/>
      <c r="F231" s="4"/>
      <c r="G231" s="4"/>
      <c r="H231" s="4" t="s">
        <v>60</v>
      </c>
      <c r="I231" s="4" t="s">
        <v>60</v>
      </c>
      <c r="J231" s="4" t="s">
        <v>2376</v>
      </c>
      <c r="K231" s="4"/>
      <c r="L231" s="4"/>
    </row>
    <row r="232" customFormat="false" ht="15" hidden="false" customHeight="false" outlineLevel="0" collapsed="false">
      <c r="A232" s="4" t="s">
        <v>2377</v>
      </c>
      <c r="B232" s="4" t="s">
        <v>1184</v>
      </c>
      <c r="C232" s="4"/>
      <c r="D232" s="4" t="s">
        <v>1167</v>
      </c>
      <c r="E232" s="4"/>
      <c r="F232" s="4"/>
      <c r="G232" s="4"/>
      <c r="H232" s="4" t="s">
        <v>60</v>
      </c>
      <c r="I232" s="4" t="s">
        <v>60</v>
      </c>
      <c r="J232" s="4" t="s">
        <v>2378</v>
      </c>
      <c r="K232" s="4"/>
      <c r="L232" s="4"/>
    </row>
    <row r="233" customFormat="false" ht="15" hidden="false" customHeight="false" outlineLevel="0" collapsed="false">
      <c r="A233" s="4" t="s">
        <v>2379</v>
      </c>
      <c r="B233" s="4" t="s">
        <v>1172</v>
      </c>
      <c r="C233" s="4"/>
      <c r="D233" s="4" t="s">
        <v>1167</v>
      </c>
      <c r="E233" s="4"/>
      <c r="F233" s="4"/>
      <c r="G233" s="4"/>
      <c r="H233" s="4" t="s">
        <v>60</v>
      </c>
      <c r="I233" s="4" t="s">
        <v>60</v>
      </c>
      <c r="J233" s="4" t="s">
        <v>2380</v>
      </c>
      <c r="K233" s="4"/>
      <c r="L233" s="4"/>
    </row>
    <row r="234" customFormat="false" ht="15" hidden="false" customHeight="false" outlineLevel="0" collapsed="false">
      <c r="A234" s="4" t="s">
        <v>2381</v>
      </c>
      <c r="B234" s="4" t="s">
        <v>1180</v>
      </c>
      <c r="C234" s="4"/>
      <c r="D234" s="4" t="s">
        <v>1167</v>
      </c>
      <c r="E234" s="4"/>
      <c r="F234" s="4"/>
      <c r="G234" s="4"/>
      <c r="H234" s="4" t="s">
        <v>60</v>
      </c>
      <c r="I234" s="4" t="s">
        <v>60</v>
      </c>
      <c r="J234" s="4" t="s">
        <v>2382</v>
      </c>
      <c r="K234" s="4"/>
      <c r="L234" s="4"/>
    </row>
    <row r="235" customFormat="false" ht="15" hidden="false" customHeight="false" outlineLevel="0" collapsed="false">
      <c r="A235" s="4" t="s">
        <v>2383</v>
      </c>
      <c r="B235" s="4" t="s">
        <v>1194</v>
      </c>
      <c r="C235" s="4"/>
      <c r="D235" s="4" t="s">
        <v>1189</v>
      </c>
      <c r="E235" s="4"/>
      <c r="F235" s="4"/>
      <c r="G235" s="4"/>
      <c r="H235" s="4" t="s">
        <v>36</v>
      </c>
      <c r="I235" s="4" t="s">
        <v>36</v>
      </c>
      <c r="J235" s="4" t="s">
        <v>2384</v>
      </c>
      <c r="K235" s="4"/>
      <c r="L235" s="4"/>
    </row>
    <row r="236" customFormat="false" ht="15" hidden="false" customHeight="false" outlineLevel="0" collapsed="false">
      <c r="A236" s="4" t="s">
        <v>2385</v>
      </c>
      <c r="B236" s="4" t="s">
        <v>1188</v>
      </c>
      <c r="C236" s="4"/>
      <c r="D236" s="4" t="s">
        <v>1189</v>
      </c>
      <c r="E236" s="4"/>
      <c r="F236" s="4"/>
      <c r="G236" s="4"/>
      <c r="H236" s="4" t="s">
        <v>36</v>
      </c>
      <c r="I236" s="4" t="s">
        <v>36</v>
      </c>
      <c r="J236" s="4" t="s">
        <v>2386</v>
      </c>
      <c r="K236" s="4"/>
      <c r="L236" s="4"/>
    </row>
    <row r="237" customFormat="false" ht="15" hidden="false" customHeight="false" outlineLevel="0" collapsed="false">
      <c r="A237" s="4" t="s">
        <v>2387</v>
      </c>
      <c r="B237" s="4" t="s">
        <v>1199</v>
      </c>
      <c r="C237" s="4"/>
      <c r="D237" s="4" t="s">
        <v>1189</v>
      </c>
      <c r="E237" s="4"/>
      <c r="F237" s="4"/>
      <c r="G237" s="4"/>
      <c r="H237" s="4" t="s">
        <v>60</v>
      </c>
      <c r="I237" s="4" t="s">
        <v>60</v>
      </c>
      <c r="J237" s="4" t="s">
        <v>2388</v>
      </c>
      <c r="K237" s="4"/>
      <c r="L237" s="4"/>
    </row>
    <row r="238" customFormat="false" ht="15" hidden="false" customHeight="false" outlineLevel="0" collapsed="false">
      <c r="A238" s="4" t="s">
        <v>2389</v>
      </c>
      <c r="B238" s="4" t="s">
        <v>1211</v>
      </c>
      <c r="C238" s="4"/>
      <c r="D238" s="4" t="s">
        <v>1189</v>
      </c>
      <c r="E238" s="4"/>
      <c r="F238" s="4"/>
      <c r="G238" s="4"/>
      <c r="H238" s="4" t="s">
        <v>60</v>
      </c>
      <c r="I238" s="4" t="s">
        <v>60</v>
      </c>
      <c r="J238" s="4" t="s">
        <v>2390</v>
      </c>
      <c r="K238" s="4"/>
      <c r="L238" s="4"/>
    </row>
    <row r="239" customFormat="false" ht="15" hidden="false" customHeight="false" outlineLevel="0" collapsed="false">
      <c r="A239" s="4" t="s">
        <v>2391</v>
      </c>
      <c r="B239" s="4" t="s">
        <v>1207</v>
      </c>
      <c r="C239" s="4"/>
      <c r="D239" s="4" t="s">
        <v>1189</v>
      </c>
      <c r="E239" s="4"/>
      <c r="F239" s="4"/>
      <c r="G239" s="4"/>
      <c r="H239" s="4" t="s">
        <v>60</v>
      </c>
      <c r="I239" s="4" t="s">
        <v>60</v>
      </c>
      <c r="J239" s="4" t="s">
        <v>2392</v>
      </c>
      <c r="K239" s="4"/>
      <c r="L239" s="4"/>
    </row>
    <row r="240" customFormat="false" ht="15" hidden="false" customHeight="false" outlineLevel="0" collapsed="false">
      <c r="A240" s="4" t="s">
        <v>2393</v>
      </c>
      <c r="B240" s="4" t="s">
        <v>1203</v>
      </c>
      <c r="C240" s="4"/>
      <c r="D240" s="4" t="s">
        <v>1189</v>
      </c>
      <c r="E240" s="4"/>
      <c r="F240" s="4"/>
      <c r="G240" s="4"/>
      <c r="H240" s="4" t="s">
        <v>60</v>
      </c>
      <c r="I240" s="4" t="s">
        <v>60</v>
      </c>
      <c r="J240" s="4" t="s">
        <v>2394</v>
      </c>
      <c r="K240" s="4"/>
      <c r="L240" s="4"/>
    </row>
    <row r="241" customFormat="false" ht="15" hidden="false" customHeight="false" outlineLevel="0" collapsed="false">
      <c r="A241" s="4" t="s">
        <v>2395</v>
      </c>
      <c r="B241" s="4" t="s">
        <v>1215</v>
      </c>
      <c r="C241" s="4"/>
      <c r="D241" s="4" t="s">
        <v>1189</v>
      </c>
      <c r="E241" s="4"/>
      <c r="F241" s="4"/>
      <c r="G241" s="4"/>
      <c r="H241" s="4" t="s">
        <v>60</v>
      </c>
      <c r="I241" s="4" t="s">
        <v>60</v>
      </c>
      <c r="J241" s="4" t="s">
        <v>2396</v>
      </c>
      <c r="K241" s="4"/>
      <c r="L241" s="4"/>
    </row>
    <row r="242" customFormat="false" ht="15" hidden="false" customHeight="false" outlineLevel="0" collapsed="false">
      <c r="A242" s="4" t="s">
        <v>2397</v>
      </c>
      <c r="B242" s="4" t="s">
        <v>1265</v>
      </c>
      <c r="C242" s="4"/>
      <c r="D242" s="4" t="s">
        <v>1220</v>
      </c>
      <c r="E242" s="4"/>
      <c r="F242" s="4"/>
      <c r="G242" s="4"/>
      <c r="H242" s="4" t="s">
        <v>60</v>
      </c>
      <c r="I242" s="4" t="s">
        <v>60</v>
      </c>
      <c r="J242" s="4" t="s">
        <v>2398</v>
      </c>
      <c r="K242" s="4"/>
      <c r="L242" s="4"/>
    </row>
    <row r="243" customFormat="false" ht="15" hidden="false" customHeight="false" outlineLevel="0" collapsed="false">
      <c r="A243" s="4" t="s">
        <v>2399</v>
      </c>
      <c r="B243" s="4" t="s">
        <v>1248</v>
      </c>
      <c r="C243" s="4"/>
      <c r="D243" s="4" t="s">
        <v>1220</v>
      </c>
      <c r="E243" s="4"/>
      <c r="F243" s="4"/>
      <c r="G243" s="4"/>
      <c r="H243" s="4" t="s">
        <v>60</v>
      </c>
      <c r="I243" s="4" t="s">
        <v>60</v>
      </c>
      <c r="J243" s="4" t="s">
        <v>2400</v>
      </c>
      <c r="K243" s="4"/>
      <c r="L243" s="4"/>
    </row>
    <row r="244" customFormat="false" ht="15" hidden="false" customHeight="false" outlineLevel="0" collapsed="false">
      <c r="A244" s="4" t="s">
        <v>2401</v>
      </c>
      <c r="B244" s="4" t="s">
        <v>1269</v>
      </c>
      <c r="C244" s="4"/>
      <c r="D244" s="4" t="s">
        <v>1220</v>
      </c>
      <c r="E244" s="4"/>
      <c r="F244" s="4"/>
      <c r="G244" s="4"/>
      <c r="H244" s="4" t="s">
        <v>60</v>
      </c>
      <c r="I244" s="4" t="s">
        <v>60</v>
      </c>
      <c r="J244" s="4" t="s">
        <v>2402</v>
      </c>
      <c r="K244" s="4"/>
      <c r="L244" s="4"/>
    </row>
    <row r="245" customFormat="false" ht="15" hidden="false" customHeight="false" outlineLevel="0" collapsed="false">
      <c r="A245" s="4" t="s">
        <v>2403</v>
      </c>
      <c r="B245" s="4" t="s">
        <v>1235</v>
      </c>
      <c r="C245" s="4"/>
      <c r="D245" s="4" t="s">
        <v>1220</v>
      </c>
      <c r="E245" s="4"/>
      <c r="F245" s="4"/>
      <c r="G245" s="4"/>
      <c r="H245" s="4" t="s">
        <v>60</v>
      </c>
      <c r="I245" s="4" t="s">
        <v>36</v>
      </c>
      <c r="J245" s="4" t="s">
        <v>2404</v>
      </c>
      <c r="K245" s="4"/>
      <c r="L245" s="4"/>
    </row>
    <row r="246" customFormat="false" ht="15" hidden="false" customHeight="false" outlineLevel="0" collapsed="false">
      <c r="A246" s="4" t="s">
        <v>2405</v>
      </c>
      <c r="B246" s="4" t="s">
        <v>1253</v>
      </c>
      <c r="C246" s="4"/>
      <c r="D246" s="4" t="s">
        <v>1220</v>
      </c>
      <c r="E246" s="4"/>
      <c r="F246" s="4"/>
      <c r="G246" s="4"/>
      <c r="H246" s="4" t="s">
        <v>60</v>
      </c>
      <c r="I246" s="4" t="s">
        <v>60</v>
      </c>
      <c r="J246" s="4" t="s">
        <v>2406</v>
      </c>
      <c r="K246" s="4"/>
      <c r="L246" s="4"/>
    </row>
    <row r="247" customFormat="false" ht="15" hidden="false" customHeight="false" outlineLevel="0" collapsed="false">
      <c r="A247" s="4" t="s">
        <v>2407</v>
      </c>
      <c r="B247" s="4" t="s">
        <v>1219</v>
      </c>
      <c r="C247" s="4"/>
      <c r="D247" s="4" t="s">
        <v>1220</v>
      </c>
      <c r="E247" s="4"/>
      <c r="F247" s="4"/>
      <c r="G247" s="4"/>
      <c r="H247" s="4" t="s">
        <v>36</v>
      </c>
      <c r="I247" s="4" t="s">
        <v>36</v>
      </c>
      <c r="J247" s="4" t="s">
        <v>2408</v>
      </c>
      <c r="K247" s="4"/>
      <c r="L247" s="4"/>
    </row>
    <row r="248" customFormat="false" ht="15" hidden="false" customHeight="false" outlineLevel="0" collapsed="false">
      <c r="A248" s="4" t="s">
        <v>2409</v>
      </c>
      <c r="B248" s="4" t="s">
        <v>1277</v>
      </c>
      <c r="C248" s="4"/>
      <c r="D248" s="4" t="s">
        <v>1220</v>
      </c>
      <c r="E248" s="4"/>
      <c r="F248" s="4"/>
      <c r="G248" s="4"/>
      <c r="H248" s="4" t="s">
        <v>60</v>
      </c>
      <c r="I248" s="4" t="s">
        <v>60</v>
      </c>
      <c r="J248" s="4" t="s">
        <v>2410</v>
      </c>
      <c r="K248" s="4"/>
      <c r="L248" s="4"/>
    </row>
    <row r="249" customFormat="false" ht="15" hidden="false" customHeight="false" outlineLevel="0" collapsed="false">
      <c r="A249" s="4" t="s">
        <v>2411</v>
      </c>
      <c r="B249" s="4" t="s">
        <v>1225</v>
      </c>
      <c r="C249" s="4"/>
      <c r="D249" s="4" t="s">
        <v>1220</v>
      </c>
      <c r="E249" s="4"/>
      <c r="F249" s="4"/>
      <c r="G249" s="4"/>
      <c r="H249" s="4" t="s">
        <v>36</v>
      </c>
      <c r="I249" s="4" t="s">
        <v>36</v>
      </c>
      <c r="J249" s="4" t="s">
        <v>2412</v>
      </c>
      <c r="K249" s="4"/>
      <c r="L249" s="4"/>
    </row>
    <row r="250" customFormat="false" ht="15" hidden="false" customHeight="false" outlineLevel="0" collapsed="false">
      <c r="A250" s="4" t="s">
        <v>2413</v>
      </c>
      <c r="B250" s="4" t="s">
        <v>1261</v>
      </c>
      <c r="C250" s="4"/>
      <c r="D250" s="4" t="s">
        <v>1220</v>
      </c>
      <c r="E250" s="4"/>
      <c r="F250" s="4"/>
      <c r="G250" s="4"/>
      <c r="H250" s="4" t="s">
        <v>60</v>
      </c>
      <c r="I250" s="4" t="s">
        <v>60</v>
      </c>
      <c r="J250" s="4" t="s">
        <v>2414</v>
      </c>
      <c r="K250" s="4"/>
      <c r="L250" s="4"/>
    </row>
    <row r="251" customFormat="false" ht="15" hidden="false" customHeight="false" outlineLevel="0" collapsed="false">
      <c r="A251" s="4" t="s">
        <v>2415</v>
      </c>
      <c r="B251" s="4" t="s">
        <v>1281</v>
      </c>
      <c r="C251" s="4"/>
      <c r="D251" s="4" t="s">
        <v>1220</v>
      </c>
      <c r="E251" s="4"/>
      <c r="F251" s="4"/>
      <c r="G251" s="4"/>
      <c r="H251" s="4" t="s">
        <v>60</v>
      </c>
      <c r="I251" s="4" t="s">
        <v>60</v>
      </c>
      <c r="J251" s="4" t="s">
        <v>2416</v>
      </c>
      <c r="K251" s="4"/>
      <c r="L251" s="4"/>
    </row>
    <row r="252" customFormat="false" ht="15" hidden="false" customHeight="false" outlineLevel="0" collapsed="false">
      <c r="A252" s="4" t="s">
        <v>2417</v>
      </c>
      <c r="B252" s="4" t="s">
        <v>1273</v>
      </c>
      <c r="C252" s="4"/>
      <c r="D252" s="4" t="s">
        <v>1220</v>
      </c>
      <c r="E252" s="4"/>
      <c r="F252" s="4"/>
      <c r="G252" s="4"/>
      <c r="H252" s="4" t="s">
        <v>60</v>
      </c>
      <c r="I252" s="4" t="s">
        <v>60</v>
      </c>
      <c r="J252" s="4" t="s">
        <v>2418</v>
      </c>
      <c r="K252" s="4"/>
      <c r="L252" s="4"/>
    </row>
    <row r="253" customFormat="false" ht="15" hidden="false" customHeight="false" outlineLevel="0" collapsed="false">
      <c r="A253" s="4" t="s">
        <v>2419</v>
      </c>
      <c r="B253" s="4" t="s">
        <v>1257</v>
      </c>
      <c r="C253" s="4"/>
      <c r="D253" s="4" t="s">
        <v>1220</v>
      </c>
      <c r="E253" s="4"/>
      <c r="F253" s="4"/>
      <c r="G253" s="4"/>
      <c r="H253" s="4" t="s">
        <v>60</v>
      </c>
      <c r="I253" s="4" t="s">
        <v>60</v>
      </c>
      <c r="J253" s="4" t="s">
        <v>2420</v>
      </c>
      <c r="K253" s="4"/>
      <c r="L253" s="4"/>
    </row>
    <row r="254" customFormat="false" ht="15" hidden="false" customHeight="false" outlineLevel="0" collapsed="false">
      <c r="A254" s="4" t="s">
        <v>2421</v>
      </c>
      <c r="B254" s="4" t="s">
        <v>1230</v>
      </c>
      <c r="C254" s="4"/>
      <c r="D254" s="4" t="s">
        <v>1220</v>
      </c>
      <c r="E254" s="4"/>
      <c r="F254" s="4"/>
      <c r="G254" s="4"/>
      <c r="H254" s="4" t="s">
        <v>60</v>
      </c>
      <c r="I254" s="4" t="s">
        <v>36</v>
      </c>
      <c r="J254" s="4" t="s">
        <v>2422</v>
      </c>
      <c r="K254" s="4"/>
      <c r="L254" s="4"/>
    </row>
    <row r="255" customFormat="false" ht="15" hidden="false" customHeight="false" outlineLevel="0" collapsed="false">
      <c r="A255" s="4" t="s">
        <v>2423</v>
      </c>
      <c r="B255" s="4" t="s">
        <v>1244</v>
      </c>
      <c r="C255" s="4"/>
      <c r="D255" s="4" t="s">
        <v>1220</v>
      </c>
      <c r="E255" s="4"/>
      <c r="F255" s="4"/>
      <c r="G255" s="4"/>
      <c r="H255" s="4" t="s">
        <v>60</v>
      </c>
      <c r="I255" s="4" t="s">
        <v>36</v>
      </c>
      <c r="J255" s="4" t="s">
        <v>2424</v>
      </c>
      <c r="K255" s="4"/>
      <c r="L255" s="4"/>
    </row>
    <row r="256" customFormat="false" ht="15" hidden="false" customHeight="false" outlineLevel="0" collapsed="false">
      <c r="A256" s="4" t="s">
        <v>2425</v>
      </c>
      <c r="B256" s="4" t="s">
        <v>1240</v>
      </c>
      <c r="C256" s="4"/>
      <c r="D256" s="4" t="s">
        <v>1220</v>
      </c>
      <c r="E256" s="4"/>
      <c r="F256" s="4"/>
      <c r="G256" s="4"/>
      <c r="H256" s="4" t="s">
        <v>60</v>
      </c>
      <c r="I256" s="4" t="s">
        <v>36</v>
      </c>
      <c r="J256" s="4" t="s">
        <v>2426</v>
      </c>
      <c r="K256" s="4"/>
      <c r="L256" s="4"/>
    </row>
    <row r="257" customFormat="false" ht="15" hidden="false" customHeight="false" outlineLevel="0" collapsed="false">
      <c r="A257" s="4" t="s">
        <v>2427</v>
      </c>
      <c r="B257" s="4" t="s">
        <v>1290</v>
      </c>
      <c r="C257" s="4"/>
      <c r="D257" s="4" t="s">
        <v>1286</v>
      </c>
      <c r="E257" s="4"/>
      <c r="F257" s="4"/>
      <c r="G257" s="4"/>
      <c r="H257" s="4" t="s">
        <v>36</v>
      </c>
      <c r="I257" s="4" t="s">
        <v>36</v>
      </c>
      <c r="J257" s="4" t="s">
        <v>2428</v>
      </c>
      <c r="K257" s="4"/>
      <c r="L257" s="4"/>
    </row>
    <row r="258" customFormat="false" ht="15" hidden="false" customHeight="false" outlineLevel="0" collapsed="false">
      <c r="A258" s="4" t="s">
        <v>2429</v>
      </c>
      <c r="B258" s="4" t="s">
        <v>1337</v>
      </c>
      <c r="C258" s="4"/>
      <c r="D258" s="4" t="s">
        <v>1286</v>
      </c>
      <c r="E258" s="4"/>
      <c r="F258" s="4"/>
      <c r="G258" s="4"/>
      <c r="H258" s="4" t="s">
        <v>60</v>
      </c>
      <c r="I258" s="4" t="s">
        <v>60</v>
      </c>
      <c r="J258" s="4" t="s">
        <v>2430</v>
      </c>
      <c r="K258" s="4"/>
      <c r="L258" s="4"/>
    </row>
    <row r="259" customFormat="false" ht="15" hidden="false" customHeight="false" outlineLevel="0" collapsed="false">
      <c r="A259" s="4" t="s">
        <v>2431</v>
      </c>
      <c r="B259" s="4" t="s">
        <v>1303</v>
      </c>
      <c r="C259" s="4"/>
      <c r="D259" s="4" t="s">
        <v>1286</v>
      </c>
      <c r="E259" s="4"/>
      <c r="F259" s="4"/>
      <c r="G259" s="4"/>
      <c r="H259" s="4" t="s">
        <v>60</v>
      </c>
      <c r="I259" s="4" t="s">
        <v>60</v>
      </c>
      <c r="J259" s="4" t="s">
        <v>2432</v>
      </c>
      <c r="K259" s="4"/>
      <c r="L259" s="4"/>
    </row>
    <row r="260" customFormat="false" ht="15" hidden="false" customHeight="false" outlineLevel="0" collapsed="false">
      <c r="A260" s="4" t="s">
        <v>2433</v>
      </c>
      <c r="B260" s="4" t="s">
        <v>1349</v>
      </c>
      <c r="C260" s="4"/>
      <c r="D260" s="4" t="s">
        <v>1286</v>
      </c>
      <c r="E260" s="4"/>
      <c r="F260" s="4"/>
      <c r="G260" s="4"/>
      <c r="H260" s="4" t="s">
        <v>60</v>
      </c>
      <c r="I260" s="4" t="s">
        <v>60</v>
      </c>
      <c r="J260" s="4" t="s">
        <v>2434</v>
      </c>
      <c r="K260" s="4"/>
      <c r="L260" s="4"/>
    </row>
    <row r="261" customFormat="false" ht="15" hidden="false" customHeight="false" outlineLevel="0" collapsed="false">
      <c r="A261" s="4" t="s">
        <v>2435</v>
      </c>
      <c r="B261" s="4" t="s">
        <v>1345</v>
      </c>
      <c r="C261" s="4"/>
      <c r="D261" s="4" t="s">
        <v>1286</v>
      </c>
      <c r="E261" s="4"/>
      <c r="F261" s="4"/>
      <c r="G261" s="4"/>
      <c r="H261" s="4" t="s">
        <v>60</v>
      </c>
      <c r="I261" s="4" t="s">
        <v>60</v>
      </c>
      <c r="J261" s="4" t="s">
        <v>2436</v>
      </c>
      <c r="K261" s="4"/>
      <c r="L261" s="4"/>
    </row>
    <row r="262" customFormat="false" ht="15" hidden="false" customHeight="false" outlineLevel="0" collapsed="false">
      <c r="A262" s="4" t="s">
        <v>2437</v>
      </c>
      <c r="B262" s="4" t="s">
        <v>1320</v>
      </c>
      <c r="C262" s="4"/>
      <c r="D262" s="4" t="s">
        <v>1286</v>
      </c>
      <c r="E262" s="4"/>
      <c r="F262" s="4"/>
      <c r="G262" s="4"/>
      <c r="H262" s="4" t="s">
        <v>60</v>
      </c>
      <c r="I262" s="4" t="s">
        <v>60</v>
      </c>
      <c r="J262" s="4" t="s">
        <v>2438</v>
      </c>
      <c r="K262" s="4"/>
      <c r="L262" s="4"/>
    </row>
    <row r="263" customFormat="false" ht="15" hidden="false" customHeight="false" outlineLevel="0" collapsed="false">
      <c r="A263" s="4" t="s">
        <v>2439</v>
      </c>
      <c r="B263" s="4" t="s">
        <v>1316</v>
      </c>
      <c r="C263" s="4"/>
      <c r="D263" s="4" t="s">
        <v>1286</v>
      </c>
      <c r="E263" s="4"/>
      <c r="F263" s="4"/>
      <c r="G263" s="4"/>
      <c r="H263" s="4" t="s">
        <v>60</v>
      </c>
      <c r="I263" s="4" t="s">
        <v>60</v>
      </c>
      <c r="J263" s="4" t="s">
        <v>2440</v>
      </c>
      <c r="K263" s="4"/>
      <c r="L263" s="4"/>
    </row>
    <row r="264" customFormat="false" ht="15" hidden="false" customHeight="false" outlineLevel="0" collapsed="false">
      <c r="A264" s="4" t="s">
        <v>2441</v>
      </c>
      <c r="B264" s="4" t="s">
        <v>1295</v>
      </c>
      <c r="C264" s="4"/>
      <c r="D264" s="4" t="s">
        <v>1286</v>
      </c>
      <c r="E264" s="4"/>
      <c r="F264" s="4"/>
      <c r="G264" s="4"/>
      <c r="H264" s="4" t="s">
        <v>36</v>
      </c>
      <c r="I264" s="4" t="s">
        <v>36</v>
      </c>
      <c r="J264" s="4" t="s">
        <v>2442</v>
      </c>
      <c r="K264" s="4"/>
      <c r="L264" s="4"/>
    </row>
    <row r="265" customFormat="false" ht="15" hidden="false" customHeight="false" outlineLevel="0" collapsed="false">
      <c r="A265" s="4" t="s">
        <v>2443</v>
      </c>
      <c r="B265" s="4" t="s">
        <v>1341</v>
      </c>
      <c r="C265" s="4"/>
      <c r="D265" s="4" t="s">
        <v>1286</v>
      </c>
      <c r="E265" s="4"/>
      <c r="F265" s="4"/>
      <c r="G265" s="4"/>
      <c r="H265" s="4" t="s">
        <v>60</v>
      </c>
      <c r="I265" s="4" t="s">
        <v>60</v>
      </c>
      <c r="J265" s="4" t="s">
        <v>2444</v>
      </c>
      <c r="K265" s="4"/>
      <c r="L265" s="4"/>
    </row>
    <row r="266" customFormat="false" ht="15" hidden="false" customHeight="false" outlineLevel="0" collapsed="false">
      <c r="A266" s="4" t="s">
        <v>2445</v>
      </c>
      <c r="B266" s="4" t="s">
        <v>1285</v>
      </c>
      <c r="C266" s="4"/>
      <c r="D266" s="4" t="s">
        <v>1286</v>
      </c>
      <c r="E266" s="4"/>
      <c r="F266" s="4"/>
      <c r="G266" s="4"/>
      <c r="H266" s="4" t="s">
        <v>36</v>
      </c>
      <c r="I266" s="4" t="s">
        <v>36</v>
      </c>
      <c r="J266" s="4" t="s">
        <v>2446</v>
      </c>
      <c r="K266" s="4"/>
      <c r="L266" s="4"/>
    </row>
    <row r="267" customFormat="false" ht="15" hidden="false" customHeight="false" outlineLevel="0" collapsed="false">
      <c r="A267" s="4" t="s">
        <v>2447</v>
      </c>
      <c r="B267" s="4" t="s">
        <v>1324</v>
      </c>
      <c r="C267" s="4"/>
      <c r="D267" s="4" t="s">
        <v>1286</v>
      </c>
      <c r="E267" s="4"/>
      <c r="F267" s="4"/>
      <c r="G267" s="4"/>
      <c r="H267" s="4" t="s">
        <v>60</v>
      </c>
      <c r="I267" s="4" t="s">
        <v>60</v>
      </c>
      <c r="J267" s="4" t="s">
        <v>2448</v>
      </c>
      <c r="K267" s="4"/>
      <c r="L267" s="4"/>
    </row>
    <row r="268" customFormat="false" ht="15" hidden="false" customHeight="false" outlineLevel="0" collapsed="false">
      <c r="A268" s="4" t="s">
        <v>2449</v>
      </c>
      <c r="B268" s="4" t="s">
        <v>1307</v>
      </c>
      <c r="C268" s="4"/>
      <c r="D268" s="4" t="s">
        <v>1286</v>
      </c>
      <c r="E268" s="4"/>
      <c r="F268" s="4"/>
      <c r="G268" s="4"/>
      <c r="H268" s="4" t="s">
        <v>60</v>
      </c>
      <c r="I268" s="4" t="s">
        <v>60</v>
      </c>
      <c r="J268" s="4" t="s">
        <v>2450</v>
      </c>
      <c r="K268" s="4"/>
      <c r="L268" s="4"/>
    </row>
    <row r="269" customFormat="false" ht="15" hidden="false" customHeight="false" outlineLevel="0" collapsed="false">
      <c r="A269" s="4" t="s">
        <v>2451</v>
      </c>
      <c r="B269" s="4" t="s">
        <v>1312</v>
      </c>
      <c r="C269" s="4"/>
      <c r="D269" s="4" t="s">
        <v>1286</v>
      </c>
      <c r="E269" s="4"/>
      <c r="F269" s="4"/>
      <c r="G269" s="4"/>
      <c r="H269" s="4" t="s">
        <v>60</v>
      </c>
      <c r="I269" s="4" t="s">
        <v>60</v>
      </c>
      <c r="J269" s="4" t="s">
        <v>2452</v>
      </c>
      <c r="K269" s="4"/>
      <c r="L269" s="4"/>
    </row>
    <row r="270" customFormat="false" ht="15" hidden="false" customHeight="false" outlineLevel="0" collapsed="false">
      <c r="A270" s="4" t="s">
        <v>2453</v>
      </c>
      <c r="B270" s="4" t="s">
        <v>1299</v>
      </c>
      <c r="C270" s="4"/>
      <c r="D270" s="4" t="s">
        <v>1286</v>
      </c>
      <c r="E270" s="4"/>
      <c r="F270" s="4"/>
      <c r="G270" s="4"/>
      <c r="H270" s="4" t="s">
        <v>36</v>
      </c>
      <c r="I270" s="4" t="s">
        <v>36</v>
      </c>
      <c r="J270" s="4" t="s">
        <v>2454</v>
      </c>
      <c r="K270" s="4"/>
      <c r="L270" s="4"/>
    </row>
    <row r="271" customFormat="false" ht="15" hidden="false" customHeight="false" outlineLevel="0" collapsed="false">
      <c r="A271" s="4" t="s">
        <v>2455</v>
      </c>
      <c r="B271" s="4" t="s">
        <v>1332</v>
      </c>
      <c r="C271" s="4"/>
      <c r="D271" s="4" t="s">
        <v>1286</v>
      </c>
      <c r="E271" s="4"/>
      <c r="F271" s="4"/>
      <c r="G271" s="4"/>
      <c r="H271" s="4" t="s">
        <v>60</v>
      </c>
      <c r="I271" s="4" t="s">
        <v>60</v>
      </c>
      <c r="J271" s="4" t="s">
        <v>2456</v>
      </c>
      <c r="K271" s="4"/>
      <c r="L271" s="4"/>
    </row>
    <row r="272" customFormat="false" ht="15" hidden="false" customHeight="false" outlineLevel="0" collapsed="false">
      <c r="A272" s="4" t="s">
        <v>2457</v>
      </c>
      <c r="B272" s="4" t="s">
        <v>1328</v>
      </c>
      <c r="C272" s="4"/>
      <c r="D272" s="4" t="s">
        <v>1286</v>
      </c>
      <c r="E272" s="4"/>
      <c r="F272" s="4"/>
      <c r="G272" s="4"/>
      <c r="H272" s="4" t="s">
        <v>60</v>
      </c>
      <c r="I272" s="4" t="s">
        <v>60</v>
      </c>
      <c r="J272" s="4" t="s">
        <v>2458</v>
      </c>
      <c r="K272" s="4"/>
      <c r="L272" s="4"/>
    </row>
    <row r="273" customFormat="false" ht="15" hidden="false" customHeight="false" outlineLevel="0" collapsed="false">
      <c r="A273" s="4" t="s">
        <v>2459</v>
      </c>
      <c r="B273" s="4" t="s">
        <v>1373</v>
      </c>
      <c r="C273" s="4"/>
      <c r="D273" s="4" t="s">
        <v>1354</v>
      </c>
      <c r="E273" s="4"/>
      <c r="F273" s="4"/>
      <c r="G273" s="4"/>
      <c r="H273" s="4" t="s">
        <v>60</v>
      </c>
      <c r="I273" s="4" t="s">
        <v>36</v>
      </c>
      <c r="J273" s="4" t="s">
        <v>2460</v>
      </c>
      <c r="K273" s="4"/>
      <c r="L273" s="4"/>
    </row>
    <row r="274" customFormat="false" ht="15" hidden="false" customHeight="false" outlineLevel="0" collapsed="false">
      <c r="A274" s="4" t="s">
        <v>2461</v>
      </c>
      <c r="B274" s="4" t="s">
        <v>1391</v>
      </c>
      <c r="C274" s="4"/>
      <c r="D274" s="4" t="s">
        <v>1354</v>
      </c>
      <c r="E274" s="4"/>
      <c r="F274" s="4"/>
      <c r="G274" s="4"/>
      <c r="H274" s="4" t="s">
        <v>60</v>
      </c>
      <c r="I274" s="4" t="s">
        <v>60</v>
      </c>
      <c r="J274" s="4" t="s">
        <v>2462</v>
      </c>
      <c r="K274" s="4"/>
      <c r="L274" s="4"/>
    </row>
    <row r="275" customFormat="false" ht="15" hidden="false" customHeight="false" outlineLevel="0" collapsed="false">
      <c r="A275" s="4" t="s">
        <v>2463</v>
      </c>
      <c r="B275" s="4" t="s">
        <v>1395</v>
      </c>
      <c r="C275" s="4"/>
      <c r="D275" s="4" t="s">
        <v>1354</v>
      </c>
      <c r="E275" s="4"/>
      <c r="F275" s="4"/>
      <c r="G275" s="4"/>
      <c r="H275" s="4" t="s">
        <v>60</v>
      </c>
      <c r="I275" s="4" t="s">
        <v>60</v>
      </c>
      <c r="J275" s="4" t="s">
        <v>2464</v>
      </c>
      <c r="K275" s="4"/>
      <c r="L275" s="4"/>
    </row>
    <row r="276" customFormat="false" ht="15" hidden="false" customHeight="false" outlineLevel="0" collapsed="false">
      <c r="A276" s="4" t="s">
        <v>2465</v>
      </c>
      <c r="B276" s="4" t="s">
        <v>1411</v>
      </c>
      <c r="C276" s="4"/>
      <c r="D276" s="4" t="s">
        <v>1354</v>
      </c>
      <c r="E276" s="4"/>
      <c r="F276" s="4"/>
      <c r="G276" s="4"/>
      <c r="H276" s="4" t="s">
        <v>60</v>
      </c>
      <c r="I276" s="4" t="s">
        <v>60</v>
      </c>
      <c r="J276" s="4" t="s">
        <v>2466</v>
      </c>
      <c r="K276" s="4"/>
      <c r="L276" s="4"/>
    </row>
    <row r="277" customFormat="false" ht="15" hidden="false" customHeight="false" outlineLevel="0" collapsed="false">
      <c r="A277" s="4" t="s">
        <v>2467</v>
      </c>
      <c r="B277" s="4" t="s">
        <v>1383</v>
      </c>
      <c r="C277" s="4"/>
      <c r="D277" s="4" t="s">
        <v>1354</v>
      </c>
      <c r="E277" s="4"/>
      <c r="F277" s="4"/>
      <c r="G277" s="4"/>
      <c r="H277" s="4" t="s">
        <v>60</v>
      </c>
      <c r="I277" s="4" t="s">
        <v>36</v>
      </c>
      <c r="J277" s="4" t="s">
        <v>2468</v>
      </c>
      <c r="K277" s="4"/>
      <c r="L277" s="4"/>
    </row>
    <row r="278" customFormat="false" ht="15" hidden="false" customHeight="false" outlineLevel="0" collapsed="false">
      <c r="A278" s="4" t="s">
        <v>2469</v>
      </c>
      <c r="B278" s="4" t="s">
        <v>1407</v>
      </c>
      <c r="C278" s="4"/>
      <c r="D278" s="4" t="s">
        <v>1354</v>
      </c>
      <c r="E278" s="4"/>
      <c r="F278" s="4"/>
      <c r="G278" s="4"/>
      <c r="H278" s="4" t="s">
        <v>60</v>
      </c>
      <c r="I278" s="4" t="s">
        <v>60</v>
      </c>
      <c r="J278" s="4" t="s">
        <v>2470</v>
      </c>
      <c r="K278" s="4"/>
      <c r="L278" s="4"/>
    </row>
    <row r="279" customFormat="false" ht="15" hidden="false" customHeight="false" outlineLevel="0" collapsed="false">
      <c r="A279" s="4" t="s">
        <v>2471</v>
      </c>
      <c r="B279" s="4" t="s">
        <v>1353</v>
      </c>
      <c r="C279" s="4"/>
      <c r="D279" s="4" t="s">
        <v>1354</v>
      </c>
      <c r="E279" s="4"/>
      <c r="F279" s="4"/>
      <c r="G279" s="4"/>
      <c r="H279" s="4" t="s">
        <v>36</v>
      </c>
      <c r="I279" s="4" t="s">
        <v>36</v>
      </c>
      <c r="J279" s="4" t="s">
        <v>2472</v>
      </c>
      <c r="K279" s="4"/>
      <c r="L279" s="4"/>
    </row>
    <row r="280" customFormat="false" ht="15" hidden="false" customHeight="false" outlineLevel="0" collapsed="false">
      <c r="A280" s="4" t="s">
        <v>2473</v>
      </c>
      <c r="B280" s="4" t="s">
        <v>1387</v>
      </c>
      <c r="C280" s="4"/>
      <c r="D280" s="4" t="s">
        <v>1354</v>
      </c>
      <c r="E280" s="4"/>
      <c r="F280" s="4"/>
      <c r="G280" s="4"/>
      <c r="H280" s="4" t="s">
        <v>60</v>
      </c>
      <c r="I280" s="4" t="s">
        <v>60</v>
      </c>
      <c r="J280" s="4" t="s">
        <v>2474</v>
      </c>
      <c r="K280" s="4"/>
      <c r="L280" s="4"/>
    </row>
    <row r="281" customFormat="false" ht="15" hidden="false" customHeight="false" outlineLevel="0" collapsed="false">
      <c r="A281" s="4" t="s">
        <v>2475</v>
      </c>
      <c r="B281" s="4" t="s">
        <v>1415</v>
      </c>
      <c r="C281" s="4"/>
      <c r="D281" s="4" t="s">
        <v>1354</v>
      </c>
      <c r="E281" s="4"/>
      <c r="F281" s="4"/>
      <c r="G281" s="4"/>
      <c r="H281" s="4" t="s">
        <v>60</v>
      </c>
      <c r="I281" s="4" t="s">
        <v>60</v>
      </c>
      <c r="J281" s="4" t="s">
        <v>2476</v>
      </c>
      <c r="K281" s="4"/>
      <c r="L281" s="4"/>
    </row>
    <row r="282" customFormat="false" ht="15" hidden="false" customHeight="false" outlineLevel="0" collapsed="false">
      <c r="A282" s="4" t="s">
        <v>2477</v>
      </c>
      <c r="B282" s="4" t="s">
        <v>1363</v>
      </c>
      <c r="C282" s="4"/>
      <c r="D282" s="4" t="s">
        <v>1354</v>
      </c>
      <c r="E282" s="4"/>
      <c r="F282" s="4"/>
      <c r="G282" s="4"/>
      <c r="H282" s="4" t="s">
        <v>36</v>
      </c>
      <c r="I282" s="4" t="s">
        <v>36</v>
      </c>
      <c r="J282" s="4" t="s">
        <v>2478</v>
      </c>
      <c r="K282" s="4"/>
      <c r="L282" s="4"/>
    </row>
    <row r="283" customFormat="false" ht="15" hidden="false" customHeight="false" outlineLevel="0" collapsed="false">
      <c r="A283" s="4" t="s">
        <v>2479</v>
      </c>
      <c r="B283" s="4" t="s">
        <v>1378</v>
      </c>
      <c r="C283" s="4"/>
      <c r="D283" s="4" t="s">
        <v>1354</v>
      </c>
      <c r="E283" s="4"/>
      <c r="F283" s="4"/>
      <c r="G283" s="4"/>
      <c r="H283" s="4" t="s">
        <v>36</v>
      </c>
      <c r="I283" s="4" t="s">
        <v>36</v>
      </c>
      <c r="J283" s="4" t="s">
        <v>2480</v>
      </c>
      <c r="K283" s="4"/>
      <c r="L283" s="4"/>
    </row>
    <row r="284" customFormat="false" ht="15" hidden="false" customHeight="false" outlineLevel="0" collapsed="false">
      <c r="A284" s="4" t="s">
        <v>2481</v>
      </c>
      <c r="B284" s="4" t="s">
        <v>1423</v>
      </c>
      <c r="C284" s="4"/>
      <c r="D284" s="4" t="s">
        <v>1354</v>
      </c>
      <c r="E284" s="4"/>
      <c r="F284" s="4"/>
      <c r="G284" s="4"/>
      <c r="H284" s="4" t="s">
        <v>60</v>
      </c>
      <c r="I284" s="4" t="s">
        <v>60</v>
      </c>
      <c r="J284" s="4" t="s">
        <v>2482</v>
      </c>
      <c r="K284" s="4"/>
      <c r="L284" s="4"/>
    </row>
    <row r="285" customFormat="false" ht="15" hidden="false" customHeight="false" outlineLevel="0" collapsed="false">
      <c r="A285" s="4" t="s">
        <v>2483</v>
      </c>
      <c r="B285" s="4" t="s">
        <v>1399</v>
      </c>
      <c r="C285" s="4"/>
      <c r="D285" s="4" t="s">
        <v>1354</v>
      </c>
      <c r="E285" s="4"/>
      <c r="F285" s="4"/>
      <c r="G285" s="4"/>
      <c r="H285" s="4" t="s">
        <v>60</v>
      </c>
      <c r="I285" s="4" t="s">
        <v>60</v>
      </c>
      <c r="J285" s="4" t="s">
        <v>2484</v>
      </c>
      <c r="K285" s="4"/>
      <c r="L285" s="4"/>
    </row>
    <row r="286" customFormat="false" ht="15" hidden="false" customHeight="false" outlineLevel="0" collapsed="false">
      <c r="A286" s="4" t="s">
        <v>2485</v>
      </c>
      <c r="B286" s="4" t="s">
        <v>1403</v>
      </c>
      <c r="C286" s="4"/>
      <c r="D286" s="4" t="s">
        <v>1354</v>
      </c>
      <c r="E286" s="4"/>
      <c r="F286" s="4"/>
      <c r="G286" s="4"/>
      <c r="H286" s="4" t="s">
        <v>60</v>
      </c>
      <c r="I286" s="4" t="s">
        <v>60</v>
      </c>
      <c r="J286" s="4" t="s">
        <v>2486</v>
      </c>
      <c r="K286" s="4"/>
      <c r="L286" s="4"/>
    </row>
    <row r="287" customFormat="false" ht="15" hidden="false" customHeight="false" outlineLevel="0" collapsed="false">
      <c r="A287" s="4" t="s">
        <v>2487</v>
      </c>
      <c r="B287" s="4" t="s">
        <v>1419</v>
      </c>
      <c r="C287" s="4"/>
      <c r="D287" s="4" t="s">
        <v>1354</v>
      </c>
      <c r="E287" s="4"/>
      <c r="F287" s="4"/>
      <c r="G287" s="4"/>
      <c r="H287" s="4" t="s">
        <v>60</v>
      </c>
      <c r="I287" s="4" t="s">
        <v>60</v>
      </c>
      <c r="J287" s="4" t="s">
        <v>2488</v>
      </c>
      <c r="K287" s="4"/>
      <c r="L287" s="4"/>
    </row>
    <row r="288" customFormat="false" ht="15" hidden="false" customHeight="false" outlineLevel="0" collapsed="false">
      <c r="A288" s="4" t="s">
        <v>2489</v>
      </c>
      <c r="B288" s="4" t="s">
        <v>1368</v>
      </c>
      <c r="C288" s="4"/>
      <c r="D288" s="4" t="s">
        <v>1354</v>
      </c>
      <c r="E288" s="4"/>
      <c r="F288" s="4"/>
      <c r="G288" s="4"/>
      <c r="H288" s="4" t="s">
        <v>36</v>
      </c>
      <c r="I288" s="4" t="s">
        <v>36</v>
      </c>
      <c r="J288" s="4" t="s">
        <v>2490</v>
      </c>
      <c r="K288" s="4"/>
      <c r="L288" s="4"/>
    </row>
    <row r="289" customFormat="false" ht="15" hidden="false" customHeight="false" outlineLevel="0" collapsed="false">
      <c r="A289" s="4" t="s">
        <v>2491</v>
      </c>
      <c r="B289" s="4" t="s">
        <v>1427</v>
      </c>
      <c r="C289" s="4"/>
      <c r="D289" s="4" t="s">
        <v>1428</v>
      </c>
      <c r="E289" s="4"/>
      <c r="F289" s="4"/>
      <c r="G289" s="4"/>
      <c r="H289" s="4" t="s">
        <v>36</v>
      </c>
      <c r="I289" s="4" t="s">
        <v>36</v>
      </c>
      <c r="J289" s="4" t="s">
        <v>2492</v>
      </c>
      <c r="K289" s="4"/>
      <c r="L289" s="4"/>
    </row>
    <row r="290" customFormat="false" ht="15" hidden="false" customHeight="false" outlineLevel="0" collapsed="false">
      <c r="A290" s="4" t="s">
        <v>2493</v>
      </c>
      <c r="B290" s="4" t="s">
        <v>1437</v>
      </c>
      <c r="C290" s="4"/>
      <c r="D290" s="4" t="s">
        <v>1428</v>
      </c>
      <c r="E290" s="4"/>
      <c r="F290" s="4"/>
      <c r="G290" s="4"/>
      <c r="H290" s="4" t="s">
        <v>60</v>
      </c>
      <c r="I290" s="4" t="s">
        <v>60</v>
      </c>
      <c r="J290" s="4" t="s">
        <v>2494</v>
      </c>
      <c r="K290" s="4"/>
      <c r="L290" s="4"/>
    </row>
    <row r="291" customFormat="false" ht="15" hidden="false" customHeight="false" outlineLevel="0" collapsed="false">
      <c r="A291" s="4" t="s">
        <v>2495</v>
      </c>
      <c r="B291" s="4" t="s">
        <v>1446</v>
      </c>
      <c r="C291" s="4"/>
      <c r="D291" s="4" t="s">
        <v>1428</v>
      </c>
      <c r="E291" s="4"/>
      <c r="F291" s="4"/>
      <c r="G291" s="4"/>
      <c r="H291" s="4" t="s">
        <v>60</v>
      </c>
      <c r="I291" s="4" t="s">
        <v>60</v>
      </c>
      <c r="J291" s="4" t="s">
        <v>2496</v>
      </c>
      <c r="K291" s="4"/>
      <c r="L291" s="4"/>
    </row>
    <row r="292" customFormat="false" ht="15" hidden="false" customHeight="false" outlineLevel="0" collapsed="false">
      <c r="A292" s="4" t="s">
        <v>2497</v>
      </c>
      <c r="B292" s="4" t="s">
        <v>1442</v>
      </c>
      <c r="C292" s="4"/>
      <c r="D292" s="4" t="s">
        <v>1428</v>
      </c>
      <c r="E292" s="4"/>
      <c r="F292" s="4"/>
      <c r="G292" s="4"/>
      <c r="H292" s="4" t="s">
        <v>60</v>
      </c>
      <c r="I292" s="4" t="s">
        <v>60</v>
      </c>
      <c r="J292" s="4" t="s">
        <v>2498</v>
      </c>
      <c r="K292" s="4"/>
      <c r="L292" s="4"/>
    </row>
    <row r="293" customFormat="false" ht="15" hidden="false" customHeight="false" outlineLevel="0" collapsed="false">
      <c r="A293" s="4" t="s">
        <v>2499</v>
      </c>
      <c r="B293" s="4" t="s">
        <v>1433</v>
      </c>
      <c r="C293" s="4"/>
      <c r="D293" s="4" t="s">
        <v>1428</v>
      </c>
      <c r="E293" s="4"/>
      <c r="F293" s="4"/>
      <c r="G293" s="4"/>
      <c r="H293" s="4" t="s">
        <v>60</v>
      </c>
      <c r="I293" s="4" t="s">
        <v>60</v>
      </c>
      <c r="J293" s="4" t="s">
        <v>2500</v>
      </c>
      <c r="K293" s="4"/>
      <c r="L293" s="4"/>
    </row>
    <row r="294" customFormat="false" ht="15" hidden="false" customHeight="false" outlineLevel="0" collapsed="false">
      <c r="A294" s="4" t="s">
        <v>2501</v>
      </c>
      <c r="B294" s="4" t="s">
        <v>1450</v>
      </c>
      <c r="C294" s="4"/>
      <c r="D294" s="4" t="s">
        <v>1451</v>
      </c>
      <c r="E294" s="4"/>
      <c r="F294" s="4"/>
      <c r="G294" s="4"/>
      <c r="H294" s="4" t="s">
        <v>36</v>
      </c>
      <c r="I294" s="4" t="s">
        <v>36</v>
      </c>
      <c r="J294" s="4" t="s">
        <v>2502</v>
      </c>
      <c r="K294" s="4" t="s">
        <v>2503</v>
      </c>
      <c r="L294" s="4"/>
    </row>
    <row r="295" customFormat="false" ht="15" hidden="false" customHeight="false" outlineLevel="0" collapsed="false">
      <c r="A295" s="4" t="s">
        <v>2504</v>
      </c>
      <c r="B295" s="4" t="s">
        <v>1468</v>
      </c>
      <c r="C295" s="4"/>
      <c r="D295" s="4" t="s">
        <v>1451</v>
      </c>
      <c r="E295" s="4"/>
      <c r="F295" s="4"/>
      <c r="G295" s="4"/>
      <c r="H295" s="4" t="s">
        <v>36</v>
      </c>
      <c r="I295" s="4" t="s">
        <v>36</v>
      </c>
      <c r="J295" s="4" t="s">
        <v>2505</v>
      </c>
      <c r="K295" s="4"/>
      <c r="L295" s="4"/>
    </row>
    <row r="296" customFormat="false" ht="15" hidden="false" customHeight="false" outlineLevel="0" collapsed="false">
      <c r="A296" s="4" t="s">
        <v>2506</v>
      </c>
      <c r="B296" s="4" t="s">
        <v>1539</v>
      </c>
      <c r="C296" s="4"/>
      <c r="D296" s="4" t="s">
        <v>1451</v>
      </c>
      <c r="E296" s="4"/>
      <c r="F296" s="4"/>
      <c r="G296" s="4"/>
      <c r="H296" s="4" t="s">
        <v>60</v>
      </c>
      <c r="I296" s="4" t="s">
        <v>60</v>
      </c>
      <c r="J296" s="4" t="s">
        <v>2507</v>
      </c>
      <c r="K296" s="4"/>
      <c r="L296" s="4"/>
    </row>
    <row r="297" customFormat="false" ht="15" hidden="false" customHeight="false" outlineLevel="0" collapsed="false">
      <c r="A297" s="4" t="s">
        <v>2508</v>
      </c>
      <c r="B297" s="4" t="s">
        <v>1503</v>
      </c>
      <c r="C297" s="4"/>
      <c r="D297" s="4" t="s">
        <v>1451</v>
      </c>
      <c r="E297" s="4"/>
      <c r="F297" s="4"/>
      <c r="G297" s="4"/>
      <c r="H297" s="4" t="s">
        <v>60</v>
      </c>
      <c r="I297" s="4" t="s">
        <v>60</v>
      </c>
      <c r="J297" s="4" t="s">
        <v>2509</v>
      </c>
      <c r="K297" s="4"/>
      <c r="L297" s="4"/>
    </row>
    <row r="298" customFormat="false" ht="15" hidden="false" customHeight="false" outlineLevel="0" collapsed="false">
      <c r="A298" s="4" t="s">
        <v>2510</v>
      </c>
      <c r="B298" s="4" t="s">
        <v>1531</v>
      </c>
      <c r="C298" s="4"/>
      <c r="D298" s="4" t="s">
        <v>1451</v>
      </c>
      <c r="E298" s="4"/>
      <c r="F298" s="4"/>
      <c r="G298" s="4"/>
      <c r="H298" s="4" t="s">
        <v>60</v>
      </c>
      <c r="I298" s="4" t="s">
        <v>60</v>
      </c>
      <c r="J298" s="4" t="s">
        <v>2511</v>
      </c>
      <c r="K298" s="4"/>
      <c r="L298" s="4"/>
    </row>
    <row r="299" customFormat="false" ht="15" hidden="false" customHeight="false" outlineLevel="0" collapsed="false">
      <c r="A299" s="4" t="s">
        <v>2512</v>
      </c>
      <c r="B299" s="4" t="s">
        <v>1515</v>
      </c>
      <c r="C299" s="4"/>
      <c r="D299" s="4" t="s">
        <v>1451</v>
      </c>
      <c r="E299" s="4"/>
      <c r="F299" s="4"/>
      <c r="G299" s="4"/>
      <c r="H299" s="4" t="s">
        <v>60</v>
      </c>
      <c r="I299" s="4" t="s">
        <v>60</v>
      </c>
      <c r="J299" s="4" t="s">
        <v>2513</v>
      </c>
      <c r="K299" s="4"/>
      <c r="L299" s="4"/>
    </row>
    <row r="300" customFormat="false" ht="15" hidden="false" customHeight="false" outlineLevel="0" collapsed="false">
      <c r="A300" s="4" t="s">
        <v>2514</v>
      </c>
      <c r="B300" s="4" t="s">
        <v>1527</v>
      </c>
      <c r="C300" s="4"/>
      <c r="D300" s="4" t="s">
        <v>1451</v>
      </c>
      <c r="E300" s="4"/>
      <c r="F300" s="4"/>
      <c r="G300" s="4"/>
      <c r="H300" s="4" t="s">
        <v>60</v>
      </c>
      <c r="I300" s="4" t="s">
        <v>60</v>
      </c>
      <c r="J300" s="4" t="s">
        <v>2515</v>
      </c>
      <c r="K300" s="4"/>
      <c r="L300" s="4"/>
    </row>
    <row r="301" customFormat="false" ht="15" hidden="false" customHeight="false" outlineLevel="0" collapsed="false">
      <c r="A301" s="4" t="s">
        <v>2516</v>
      </c>
      <c r="B301" s="4" t="s">
        <v>1535</v>
      </c>
      <c r="C301" s="4"/>
      <c r="D301" s="4" t="s">
        <v>1451</v>
      </c>
      <c r="E301" s="4"/>
      <c r="F301" s="4"/>
      <c r="G301" s="4"/>
      <c r="H301" s="4" t="s">
        <v>60</v>
      </c>
      <c r="I301" s="4" t="s">
        <v>60</v>
      </c>
      <c r="J301" s="4" t="s">
        <v>2517</v>
      </c>
      <c r="K301" s="4"/>
      <c r="L301" s="4"/>
    </row>
    <row r="302" customFormat="false" ht="15" hidden="false" customHeight="false" outlineLevel="0" collapsed="false">
      <c r="A302" s="4" t="s">
        <v>2518</v>
      </c>
      <c r="B302" s="4" t="s">
        <v>1477</v>
      </c>
      <c r="C302" s="4"/>
      <c r="D302" s="4" t="s">
        <v>1451</v>
      </c>
      <c r="E302" s="4"/>
      <c r="F302" s="4"/>
      <c r="G302" s="4"/>
      <c r="H302" s="4" t="s">
        <v>36</v>
      </c>
      <c r="I302" s="4" t="s">
        <v>36</v>
      </c>
      <c r="J302" s="4" t="s">
        <v>2519</v>
      </c>
      <c r="K302" s="4"/>
      <c r="L302" s="4"/>
    </row>
    <row r="303" customFormat="false" ht="15" hidden="false" customHeight="false" outlineLevel="0" collapsed="false">
      <c r="A303" s="4" t="s">
        <v>2520</v>
      </c>
      <c r="B303" s="4" t="s">
        <v>1543</v>
      </c>
      <c r="C303" s="4"/>
      <c r="D303" s="4" t="s">
        <v>1451</v>
      </c>
      <c r="E303" s="4"/>
      <c r="F303" s="4"/>
      <c r="G303" s="4"/>
      <c r="H303" s="4" t="s">
        <v>60</v>
      </c>
      <c r="I303" s="4" t="s">
        <v>60</v>
      </c>
      <c r="J303" s="4" t="s">
        <v>2521</v>
      </c>
      <c r="K303" s="4"/>
      <c r="L303" s="4"/>
    </row>
    <row r="304" customFormat="false" ht="15" hidden="false" customHeight="false" outlineLevel="0" collapsed="false">
      <c r="A304" s="4" t="s">
        <v>2522</v>
      </c>
      <c r="B304" s="4" t="s">
        <v>1547</v>
      </c>
      <c r="C304" s="4"/>
      <c r="D304" s="4" t="s">
        <v>1451</v>
      </c>
      <c r="E304" s="4"/>
      <c r="F304" s="4"/>
      <c r="G304" s="4"/>
      <c r="H304" s="4" t="s">
        <v>60</v>
      </c>
      <c r="I304" s="4" t="s">
        <v>60</v>
      </c>
      <c r="J304" s="4" t="s">
        <v>2523</v>
      </c>
      <c r="K304" s="4"/>
      <c r="L304" s="4"/>
    </row>
    <row r="305" customFormat="false" ht="15" hidden="false" customHeight="false" outlineLevel="0" collapsed="false">
      <c r="A305" s="4" t="s">
        <v>2524</v>
      </c>
      <c r="B305" s="4" t="s">
        <v>1495</v>
      </c>
      <c r="C305" s="4"/>
      <c r="D305" s="4" t="s">
        <v>1451</v>
      </c>
      <c r="E305" s="4"/>
      <c r="F305" s="4"/>
      <c r="G305" s="4"/>
      <c r="H305" s="4" t="s">
        <v>36</v>
      </c>
      <c r="I305" s="4" t="s">
        <v>36</v>
      </c>
      <c r="J305" s="4" t="s">
        <v>2525</v>
      </c>
      <c r="K305" s="4"/>
      <c r="L305" s="4"/>
    </row>
    <row r="306" customFormat="false" ht="15" hidden="false" customHeight="false" outlineLevel="0" collapsed="false">
      <c r="A306" s="4" t="s">
        <v>2526</v>
      </c>
      <c r="B306" s="4" t="s">
        <v>1511</v>
      </c>
      <c r="C306" s="4"/>
      <c r="D306" s="4" t="s">
        <v>1451</v>
      </c>
      <c r="E306" s="4"/>
      <c r="F306" s="4"/>
      <c r="G306" s="4"/>
      <c r="H306" s="4" t="s">
        <v>60</v>
      </c>
      <c r="I306" s="4" t="s">
        <v>60</v>
      </c>
      <c r="J306" s="4" t="s">
        <v>2527</v>
      </c>
      <c r="K306" s="4"/>
      <c r="L306" s="4"/>
    </row>
    <row r="307" customFormat="false" ht="15" hidden="false" customHeight="false" outlineLevel="0" collapsed="false">
      <c r="A307" s="4" t="s">
        <v>2528</v>
      </c>
      <c r="B307" s="4" t="s">
        <v>1486</v>
      </c>
      <c r="C307" s="4"/>
      <c r="D307" s="4" t="s">
        <v>1451</v>
      </c>
      <c r="E307" s="4"/>
      <c r="F307" s="4"/>
      <c r="G307" s="4"/>
      <c r="H307" s="4" t="s">
        <v>36</v>
      </c>
      <c r="I307" s="4" t="s">
        <v>36</v>
      </c>
      <c r="J307" s="4" t="s">
        <v>2529</v>
      </c>
      <c r="K307" s="4" t="s">
        <v>2530</v>
      </c>
      <c r="L307" s="4"/>
    </row>
    <row r="308" customFormat="false" ht="15" hidden="false" customHeight="false" outlineLevel="0" collapsed="false">
      <c r="A308" s="4" t="s">
        <v>2531</v>
      </c>
      <c r="B308" s="4" t="s">
        <v>1499</v>
      </c>
      <c r="C308" s="4"/>
      <c r="D308" s="4" t="s">
        <v>1451</v>
      </c>
      <c r="E308" s="4"/>
      <c r="F308" s="4"/>
      <c r="G308" s="4"/>
      <c r="H308" s="4" t="s">
        <v>60</v>
      </c>
      <c r="I308" s="4" t="s">
        <v>36</v>
      </c>
      <c r="J308" s="4" t="s">
        <v>2532</v>
      </c>
      <c r="K308" s="4"/>
      <c r="L308" s="4"/>
    </row>
    <row r="309" customFormat="false" ht="15" hidden="false" customHeight="false" outlineLevel="0" collapsed="false">
      <c r="A309" s="4" t="s">
        <v>2533</v>
      </c>
      <c r="B309" s="4" t="s">
        <v>1519</v>
      </c>
      <c r="C309" s="4"/>
      <c r="D309" s="4" t="s">
        <v>1451</v>
      </c>
      <c r="E309" s="4"/>
      <c r="F309" s="4"/>
      <c r="G309" s="4"/>
      <c r="H309" s="4" t="s">
        <v>60</v>
      </c>
      <c r="I309" s="4" t="s">
        <v>60</v>
      </c>
      <c r="J309" s="4" t="s">
        <v>2534</v>
      </c>
      <c r="K309" s="4"/>
      <c r="L309" s="4"/>
    </row>
    <row r="310" customFormat="false" ht="15" hidden="false" customHeight="false" outlineLevel="0" collapsed="false">
      <c r="A310" s="4" t="s">
        <v>2535</v>
      </c>
      <c r="B310" s="4" t="s">
        <v>1523</v>
      </c>
      <c r="C310" s="4"/>
      <c r="D310" s="4" t="s">
        <v>1451</v>
      </c>
      <c r="E310" s="4"/>
      <c r="F310" s="4"/>
      <c r="G310" s="4"/>
      <c r="H310" s="4" t="s">
        <v>60</v>
      </c>
      <c r="I310" s="4" t="s">
        <v>60</v>
      </c>
      <c r="J310" s="4" t="s">
        <v>2536</v>
      </c>
      <c r="K310" s="4" t="s">
        <v>2537</v>
      </c>
      <c r="L310" s="4"/>
    </row>
    <row r="311" customFormat="false" ht="15" hidden="false" customHeight="false" outlineLevel="0" collapsed="false">
      <c r="A311" s="4" t="s">
        <v>2538</v>
      </c>
      <c r="B311" s="4" t="s">
        <v>1507</v>
      </c>
      <c r="C311" s="4"/>
      <c r="D311" s="4" t="s">
        <v>1451</v>
      </c>
      <c r="E311" s="4"/>
      <c r="F311" s="4"/>
      <c r="G311" s="4"/>
      <c r="H311" s="4" t="s">
        <v>60</v>
      </c>
      <c r="I311" s="4" t="s">
        <v>60</v>
      </c>
      <c r="J311" s="4" t="s">
        <v>2539</v>
      </c>
      <c r="K311" s="4"/>
      <c r="L311" s="4"/>
    </row>
    <row r="312" customFormat="false" ht="15" hidden="false" customHeight="false" outlineLevel="0" collapsed="false">
      <c r="A312" s="4" t="s">
        <v>2540</v>
      </c>
      <c r="B312" s="4" t="s">
        <v>1582</v>
      </c>
      <c r="C312" s="4"/>
      <c r="D312" s="4" t="s">
        <v>1552</v>
      </c>
      <c r="E312" s="4"/>
      <c r="F312" s="4"/>
      <c r="G312" s="4"/>
      <c r="H312" s="4" t="s">
        <v>60</v>
      </c>
      <c r="I312" s="4" t="s">
        <v>60</v>
      </c>
      <c r="J312" s="4" t="s">
        <v>2541</v>
      </c>
      <c r="K312" s="4"/>
      <c r="L312" s="4"/>
    </row>
    <row r="313" customFormat="false" ht="15" hidden="false" customHeight="false" outlineLevel="0" collapsed="false">
      <c r="A313" s="4" t="s">
        <v>2542</v>
      </c>
      <c r="B313" s="4" t="s">
        <v>1551</v>
      </c>
      <c r="C313" s="4"/>
      <c r="D313" s="4" t="s">
        <v>1552</v>
      </c>
      <c r="E313" s="4"/>
      <c r="F313" s="4"/>
      <c r="G313" s="4"/>
      <c r="H313" s="4" t="s">
        <v>36</v>
      </c>
      <c r="I313" s="4" t="s">
        <v>36</v>
      </c>
      <c r="J313" s="4" t="s">
        <v>2543</v>
      </c>
      <c r="K313" s="4"/>
      <c r="L313" s="4"/>
    </row>
    <row r="314" customFormat="false" ht="15" hidden="false" customHeight="false" outlineLevel="0" collapsed="false">
      <c r="A314" s="4" t="s">
        <v>2544</v>
      </c>
      <c r="B314" s="4" t="s">
        <v>1566</v>
      </c>
      <c r="C314" s="4"/>
      <c r="D314" s="4" t="s">
        <v>1552</v>
      </c>
      <c r="E314" s="4"/>
      <c r="F314" s="4"/>
      <c r="G314" s="4"/>
      <c r="H314" s="4" t="s">
        <v>60</v>
      </c>
      <c r="I314" s="4" t="s">
        <v>60</v>
      </c>
      <c r="J314" s="4" t="s">
        <v>2545</v>
      </c>
      <c r="K314" s="4"/>
      <c r="L314" s="4"/>
    </row>
    <row r="315" customFormat="false" ht="15" hidden="false" customHeight="false" outlineLevel="0" collapsed="false">
      <c r="A315" s="4" t="s">
        <v>2546</v>
      </c>
      <c r="B315" s="4" t="s">
        <v>1574</v>
      </c>
      <c r="C315" s="4"/>
      <c r="D315" s="4" t="s">
        <v>1552</v>
      </c>
      <c r="E315" s="4"/>
      <c r="F315" s="4"/>
      <c r="G315" s="4"/>
      <c r="H315" s="4" t="s">
        <v>60</v>
      </c>
      <c r="I315" s="4" t="s">
        <v>60</v>
      </c>
      <c r="J315" s="4" t="s">
        <v>2547</v>
      </c>
      <c r="K315" s="4"/>
      <c r="L315" s="4"/>
    </row>
    <row r="316" customFormat="false" ht="15" hidden="false" customHeight="false" outlineLevel="0" collapsed="false">
      <c r="A316" s="4" t="s">
        <v>2548</v>
      </c>
      <c r="B316" s="4" t="s">
        <v>1578</v>
      </c>
      <c r="C316" s="4"/>
      <c r="D316" s="4" t="s">
        <v>1552</v>
      </c>
      <c r="E316" s="4"/>
      <c r="F316" s="4"/>
      <c r="G316" s="4"/>
      <c r="H316" s="4" t="s">
        <v>60</v>
      </c>
      <c r="I316" s="4" t="s">
        <v>60</v>
      </c>
      <c r="J316" s="4" t="s">
        <v>2549</v>
      </c>
      <c r="K316" s="4"/>
      <c r="L316" s="4"/>
    </row>
    <row r="317" customFormat="false" ht="15" hidden="false" customHeight="false" outlineLevel="0" collapsed="false">
      <c r="A317" s="4" t="s">
        <v>2550</v>
      </c>
      <c r="B317" s="4" t="s">
        <v>1586</v>
      </c>
      <c r="C317" s="4"/>
      <c r="D317" s="4" t="s">
        <v>1552</v>
      </c>
      <c r="E317" s="4"/>
      <c r="F317" s="4"/>
      <c r="G317" s="4"/>
      <c r="H317" s="4" t="s">
        <v>60</v>
      </c>
      <c r="I317" s="4" t="s">
        <v>60</v>
      </c>
      <c r="J317" s="4" t="s">
        <v>2551</v>
      </c>
      <c r="K317" s="4"/>
      <c r="L317" s="4"/>
    </row>
    <row r="318" customFormat="false" ht="15" hidden="false" customHeight="false" outlineLevel="0" collapsed="false">
      <c r="A318" s="4" t="s">
        <v>2552</v>
      </c>
      <c r="B318" s="4" t="s">
        <v>1570</v>
      </c>
      <c r="C318" s="4"/>
      <c r="D318" s="4" t="s">
        <v>1552</v>
      </c>
      <c r="E318" s="4"/>
      <c r="F318" s="4"/>
      <c r="G318" s="4"/>
      <c r="H318" s="4" t="s">
        <v>60</v>
      </c>
      <c r="I318" s="4" t="s">
        <v>60</v>
      </c>
      <c r="J318" s="4" t="s">
        <v>2553</v>
      </c>
      <c r="K318" s="4"/>
      <c r="L318" s="4"/>
    </row>
    <row r="319" customFormat="false" ht="15" hidden="false" customHeight="false" outlineLevel="0" collapsed="false">
      <c r="A319" s="4" t="s">
        <v>2554</v>
      </c>
      <c r="B319" s="4" t="s">
        <v>1590</v>
      </c>
      <c r="C319" s="4"/>
      <c r="D319" s="4" t="s">
        <v>1552</v>
      </c>
      <c r="E319" s="4"/>
      <c r="F319" s="4"/>
      <c r="G319" s="4"/>
      <c r="H319" s="4" t="s">
        <v>60</v>
      </c>
      <c r="I319" s="4" t="s">
        <v>60</v>
      </c>
      <c r="J319" s="4" t="s">
        <v>2555</v>
      </c>
      <c r="K319" s="4"/>
      <c r="L319" s="4"/>
    </row>
    <row r="320" customFormat="false" ht="15" hidden="false" customHeight="false" outlineLevel="0" collapsed="false">
      <c r="A320" s="4" t="s">
        <v>2556</v>
      </c>
      <c r="B320" s="4" t="s">
        <v>1561</v>
      </c>
      <c r="C320" s="4"/>
      <c r="D320" s="4" t="s">
        <v>1552</v>
      </c>
      <c r="E320" s="4"/>
      <c r="F320" s="4"/>
      <c r="G320" s="4"/>
      <c r="H320" s="4" t="s">
        <v>36</v>
      </c>
      <c r="I320" s="4" t="s">
        <v>36</v>
      </c>
      <c r="J320" s="4" t="s">
        <v>2557</v>
      </c>
      <c r="K320" s="4"/>
      <c r="L320" s="4"/>
    </row>
    <row r="321" customFormat="false" ht="15" hidden="false" customHeight="false" outlineLevel="0" collapsed="false">
      <c r="A321" s="4" t="s">
        <v>2558</v>
      </c>
      <c r="B321" s="4" t="s">
        <v>1594</v>
      </c>
      <c r="C321" s="4"/>
      <c r="D321" s="4" t="s">
        <v>1595</v>
      </c>
      <c r="E321" s="4"/>
      <c r="F321" s="4"/>
      <c r="G321" s="4"/>
      <c r="H321" s="4" t="s">
        <v>36</v>
      </c>
      <c r="I321" s="4" t="s">
        <v>36</v>
      </c>
      <c r="J321" s="4" t="s">
        <v>2559</v>
      </c>
      <c r="K321" s="4"/>
      <c r="L321" s="4"/>
    </row>
    <row r="322" customFormat="false" ht="15" hidden="false" customHeight="false" outlineLevel="0" collapsed="false">
      <c r="A322" s="4" t="s">
        <v>2560</v>
      </c>
      <c r="B322" s="4" t="s">
        <v>1619</v>
      </c>
      <c r="C322" s="4"/>
      <c r="D322" s="4" t="s">
        <v>1595</v>
      </c>
      <c r="E322" s="4"/>
      <c r="F322" s="4"/>
      <c r="G322" s="4"/>
      <c r="H322" s="4" t="s">
        <v>60</v>
      </c>
      <c r="I322" s="4" t="s">
        <v>60</v>
      </c>
      <c r="J322" s="4" t="s">
        <v>2561</v>
      </c>
      <c r="K322" s="4"/>
      <c r="L322" s="4"/>
    </row>
    <row r="323" customFormat="false" ht="15" hidden="false" customHeight="false" outlineLevel="0" collapsed="false">
      <c r="A323" s="4" t="s">
        <v>2562</v>
      </c>
      <c r="B323" s="4" t="s">
        <v>1615</v>
      </c>
      <c r="C323" s="4"/>
      <c r="D323" s="4" t="s">
        <v>1595</v>
      </c>
      <c r="E323" s="4"/>
      <c r="F323" s="4"/>
      <c r="G323" s="4"/>
      <c r="H323" s="4" t="s">
        <v>60</v>
      </c>
      <c r="I323" s="4" t="s">
        <v>60</v>
      </c>
      <c r="J323" s="4" t="s">
        <v>2563</v>
      </c>
      <c r="K323" s="4"/>
      <c r="L323" s="4"/>
    </row>
    <row r="324" customFormat="false" ht="15" hidden="false" customHeight="false" outlineLevel="0" collapsed="false">
      <c r="A324" s="4" t="s">
        <v>2564</v>
      </c>
      <c r="B324" s="4" t="s">
        <v>1607</v>
      </c>
      <c r="C324" s="4"/>
      <c r="D324" s="4" t="s">
        <v>1595</v>
      </c>
      <c r="E324" s="4"/>
      <c r="F324" s="4"/>
      <c r="G324" s="4"/>
      <c r="H324" s="4" t="s">
        <v>60</v>
      </c>
      <c r="I324" s="4" t="s">
        <v>60</v>
      </c>
      <c r="J324" s="4" t="s">
        <v>2565</v>
      </c>
      <c r="K324" s="4"/>
      <c r="L324" s="4"/>
    </row>
    <row r="325" customFormat="false" ht="15" hidden="false" customHeight="false" outlineLevel="0" collapsed="false">
      <c r="A325" s="4" t="s">
        <v>2566</v>
      </c>
      <c r="B325" s="4" t="s">
        <v>1611</v>
      </c>
      <c r="C325" s="4"/>
      <c r="D325" s="4" t="s">
        <v>1595</v>
      </c>
      <c r="E325" s="4"/>
      <c r="F325" s="4"/>
      <c r="G325" s="4"/>
      <c r="H325" s="4" t="s">
        <v>60</v>
      </c>
      <c r="I325" s="4" t="s">
        <v>60</v>
      </c>
      <c r="J325" s="4" t="s">
        <v>2567</v>
      </c>
      <c r="K325" s="4"/>
      <c r="L325" s="4"/>
    </row>
    <row r="326" customFormat="false" ht="15" hidden="false" customHeight="false" outlineLevel="0" collapsed="false">
      <c r="A326" s="4" t="s">
        <v>2568</v>
      </c>
      <c r="B326" s="4" t="s">
        <v>1368</v>
      </c>
      <c r="C326" s="4"/>
      <c r="D326" s="4" t="s">
        <v>1595</v>
      </c>
      <c r="E326" s="4"/>
      <c r="F326" s="4"/>
      <c r="G326" s="4"/>
      <c r="H326" s="4" t="s">
        <v>36</v>
      </c>
      <c r="I326" s="4" t="s">
        <v>60</v>
      </c>
      <c r="J326" s="4" t="s">
        <v>2490</v>
      </c>
      <c r="K326" s="4"/>
      <c r="L326" s="4"/>
    </row>
    <row r="327" customFormat="false" ht="15" hidden="false" customHeight="false" outlineLevel="0" collapsed="false">
      <c r="A327" s="4" t="s">
        <v>2569</v>
      </c>
      <c r="B327" s="4" t="s">
        <v>1654</v>
      </c>
      <c r="C327" s="4"/>
      <c r="D327" s="4" t="s">
        <v>1624</v>
      </c>
      <c r="E327" s="4"/>
      <c r="F327" s="4"/>
      <c r="G327" s="4"/>
      <c r="H327" s="4" t="s">
        <v>36</v>
      </c>
      <c r="I327" s="4" t="s">
        <v>36</v>
      </c>
      <c r="J327" s="4" t="s">
        <v>2570</v>
      </c>
      <c r="K327" s="4"/>
      <c r="L327" s="4"/>
    </row>
    <row r="328" customFormat="false" ht="15" hidden="false" customHeight="false" outlineLevel="0" collapsed="false">
      <c r="A328" s="4" t="s">
        <v>2571</v>
      </c>
      <c r="B328" s="4" t="s">
        <v>1695</v>
      </c>
      <c r="C328" s="4"/>
      <c r="D328" s="4" t="s">
        <v>1624</v>
      </c>
      <c r="E328" s="4"/>
      <c r="F328" s="4"/>
      <c r="G328" s="4"/>
      <c r="H328" s="4" t="s">
        <v>60</v>
      </c>
      <c r="I328" s="4" t="s">
        <v>60</v>
      </c>
      <c r="J328" s="4" t="s">
        <v>2572</v>
      </c>
      <c r="K328" s="4"/>
      <c r="L328" s="4"/>
    </row>
    <row r="329" customFormat="false" ht="15" hidden="false" customHeight="false" outlineLevel="0" collapsed="false">
      <c r="A329" s="4" t="s">
        <v>2573</v>
      </c>
      <c r="B329" s="4" t="s">
        <v>1703</v>
      </c>
      <c r="C329" s="4"/>
      <c r="D329" s="4" t="s">
        <v>1624</v>
      </c>
      <c r="E329" s="4"/>
      <c r="F329" s="4"/>
      <c r="G329" s="4"/>
      <c r="H329" s="4" t="s">
        <v>60</v>
      </c>
      <c r="I329" s="4" t="s">
        <v>60</v>
      </c>
      <c r="J329" s="4" t="s">
        <v>2574</v>
      </c>
      <c r="K329" s="4" t="s">
        <v>2575</v>
      </c>
      <c r="L329" s="4"/>
    </row>
    <row r="330" customFormat="false" ht="15" hidden="false" customHeight="false" outlineLevel="0" collapsed="false">
      <c r="A330" s="4" t="s">
        <v>2576</v>
      </c>
      <c r="B330" s="4" t="s">
        <v>1691</v>
      </c>
      <c r="C330" s="4"/>
      <c r="D330" s="4" t="s">
        <v>1624</v>
      </c>
      <c r="E330" s="4"/>
      <c r="F330" s="4"/>
      <c r="G330" s="4"/>
      <c r="H330" s="4" t="s">
        <v>60</v>
      </c>
      <c r="I330" s="4" t="s">
        <v>60</v>
      </c>
      <c r="J330" s="4" t="s">
        <v>2577</v>
      </c>
      <c r="K330" s="4"/>
      <c r="L330" s="4"/>
    </row>
    <row r="331" customFormat="false" ht="15" hidden="false" customHeight="false" outlineLevel="0" collapsed="false">
      <c r="A331" s="4" t="s">
        <v>2578</v>
      </c>
      <c r="B331" s="4" t="s">
        <v>1669</v>
      </c>
      <c r="C331" s="4"/>
      <c r="D331" s="4" t="s">
        <v>1624</v>
      </c>
      <c r="E331" s="4"/>
      <c r="F331" s="4"/>
      <c r="G331" s="4"/>
      <c r="H331" s="4" t="s">
        <v>36</v>
      </c>
      <c r="I331" s="4" t="s">
        <v>60</v>
      </c>
      <c r="J331" s="4" t="s">
        <v>2579</v>
      </c>
      <c r="K331" s="4"/>
      <c r="L331" s="4"/>
    </row>
    <row r="332" customFormat="false" ht="15" hidden="false" customHeight="false" outlineLevel="0" collapsed="false">
      <c r="A332" s="4" t="s">
        <v>2580</v>
      </c>
      <c r="B332" s="4" t="s">
        <v>1679</v>
      </c>
      <c r="C332" s="4"/>
      <c r="D332" s="4" t="s">
        <v>1624</v>
      </c>
      <c r="E332" s="4"/>
      <c r="F332" s="4"/>
      <c r="G332" s="4"/>
      <c r="H332" s="4" t="s">
        <v>60</v>
      </c>
      <c r="I332" s="4" t="s">
        <v>36</v>
      </c>
      <c r="J332" s="4" t="s">
        <v>2581</v>
      </c>
      <c r="K332" s="4"/>
      <c r="L332" s="4"/>
    </row>
    <row r="333" customFormat="false" ht="15" hidden="false" customHeight="false" outlineLevel="0" collapsed="false">
      <c r="A333" s="4" t="s">
        <v>2582</v>
      </c>
      <c r="B333" s="4" t="s">
        <v>1699</v>
      </c>
      <c r="C333" s="4"/>
      <c r="D333" s="4" t="s">
        <v>1624</v>
      </c>
      <c r="E333" s="4"/>
      <c r="F333" s="4"/>
      <c r="G333" s="4"/>
      <c r="H333" s="4" t="s">
        <v>60</v>
      </c>
      <c r="I333" s="4" t="s">
        <v>60</v>
      </c>
      <c r="J333" s="4" t="s">
        <v>2583</v>
      </c>
      <c r="K333" s="4"/>
      <c r="L333" s="4"/>
    </row>
    <row r="334" customFormat="false" ht="15" hidden="false" customHeight="false" outlineLevel="0" collapsed="false">
      <c r="A334" s="4" t="s">
        <v>2584</v>
      </c>
      <c r="B334" s="4" t="s">
        <v>1641</v>
      </c>
      <c r="C334" s="4"/>
      <c r="D334" s="4" t="s">
        <v>1624</v>
      </c>
      <c r="E334" s="4"/>
      <c r="F334" s="4"/>
      <c r="G334" s="4"/>
      <c r="H334" s="4" t="s">
        <v>36</v>
      </c>
      <c r="I334" s="4" t="s">
        <v>36</v>
      </c>
      <c r="J334" s="4" t="s">
        <v>2585</v>
      </c>
      <c r="K334" s="4"/>
      <c r="L334" s="4"/>
    </row>
    <row r="335" customFormat="false" ht="15" hidden="false" customHeight="false" outlineLevel="0" collapsed="false">
      <c r="A335" s="4" t="s">
        <v>2586</v>
      </c>
      <c r="B335" s="4" t="s">
        <v>1623</v>
      </c>
      <c r="C335" s="4"/>
      <c r="D335" s="4" t="s">
        <v>1624</v>
      </c>
      <c r="E335" s="4"/>
      <c r="F335" s="4"/>
      <c r="G335" s="4"/>
      <c r="H335" s="4" t="s">
        <v>36</v>
      </c>
      <c r="I335" s="4" t="s">
        <v>36</v>
      </c>
      <c r="J335" s="4" t="s">
        <v>2587</v>
      </c>
      <c r="K335" s="4"/>
      <c r="L335" s="4"/>
    </row>
    <row r="336" customFormat="false" ht="15" hidden="false" customHeight="false" outlineLevel="0" collapsed="false">
      <c r="A336" s="4" t="s">
        <v>2588</v>
      </c>
      <c r="B336" s="4" t="s">
        <v>1683</v>
      </c>
      <c r="C336" s="4"/>
      <c r="D336" s="4" t="s">
        <v>1624</v>
      </c>
      <c r="E336" s="4"/>
      <c r="F336" s="4"/>
      <c r="G336" s="4"/>
      <c r="H336" s="4" t="s">
        <v>60</v>
      </c>
      <c r="I336" s="4" t="s">
        <v>60</v>
      </c>
      <c r="J336" s="4" t="s">
        <v>2589</v>
      </c>
      <c r="K336" s="4"/>
      <c r="L336" s="4"/>
    </row>
    <row r="337" customFormat="false" ht="15" hidden="false" customHeight="false" outlineLevel="0" collapsed="false">
      <c r="A337" s="4" t="s">
        <v>2590</v>
      </c>
      <c r="B337" s="4" t="s">
        <v>1674</v>
      </c>
      <c r="C337" s="4"/>
      <c r="D337" s="4" t="s">
        <v>1624</v>
      </c>
      <c r="E337" s="4"/>
      <c r="F337" s="4"/>
      <c r="G337" s="4"/>
      <c r="H337" s="4" t="s">
        <v>36</v>
      </c>
      <c r="I337" s="4" t="s">
        <v>60</v>
      </c>
      <c r="J337" s="4" t="s">
        <v>2591</v>
      </c>
      <c r="K337" s="4"/>
      <c r="L337" s="4"/>
    </row>
    <row r="338" customFormat="false" ht="15" hidden="false" customHeight="false" outlineLevel="0" collapsed="false">
      <c r="A338" s="4" t="s">
        <v>2592</v>
      </c>
      <c r="B338" s="4" t="s">
        <v>1687</v>
      </c>
      <c r="C338" s="4"/>
      <c r="D338" s="4" t="s">
        <v>1624</v>
      </c>
      <c r="E338" s="4"/>
      <c r="F338" s="4"/>
      <c r="G338" s="4"/>
      <c r="H338" s="4" t="s">
        <v>60</v>
      </c>
      <c r="I338" s="4" t="s">
        <v>60</v>
      </c>
      <c r="J338" s="4" t="s">
        <v>2593</v>
      </c>
      <c r="K338" s="4"/>
      <c r="L338" s="4"/>
    </row>
    <row r="339" customFormat="false" ht="15" hidden="false" customHeight="false" outlineLevel="0" collapsed="false">
      <c r="A339" s="4" t="s">
        <v>2594</v>
      </c>
      <c r="B339" s="4" t="s">
        <v>1664</v>
      </c>
      <c r="C339" s="4"/>
      <c r="D339" s="4" t="s">
        <v>1624</v>
      </c>
      <c r="E339" s="4"/>
      <c r="F339" s="4"/>
      <c r="G339" s="4"/>
      <c r="H339" s="4" t="s">
        <v>36</v>
      </c>
      <c r="I339" s="4" t="s">
        <v>60</v>
      </c>
      <c r="J339" s="4" t="s">
        <v>2595</v>
      </c>
      <c r="K339" s="4"/>
      <c r="L339" s="4"/>
    </row>
    <row r="340" customFormat="false" ht="15" hidden="false" customHeight="false" outlineLevel="0" collapsed="false">
      <c r="A340" s="4" t="s">
        <v>2596</v>
      </c>
      <c r="B340" s="4" t="s">
        <v>1659</v>
      </c>
      <c r="C340" s="4"/>
      <c r="D340" s="4" t="s">
        <v>1624</v>
      </c>
      <c r="E340" s="4"/>
      <c r="F340" s="4"/>
      <c r="G340" s="4"/>
      <c r="H340" s="4" t="s">
        <v>36</v>
      </c>
      <c r="I340" s="4" t="s">
        <v>36</v>
      </c>
      <c r="J340" s="4" t="s">
        <v>2597</v>
      </c>
      <c r="K340" s="4" t="s">
        <v>2598</v>
      </c>
      <c r="L340" s="4"/>
    </row>
    <row r="341" customFormat="false" ht="15" hidden="false" customHeight="false" outlineLevel="0" collapsed="false">
      <c r="A341" s="4" t="s">
        <v>2599</v>
      </c>
      <c r="B341" s="4" t="s">
        <v>1708</v>
      </c>
      <c r="C341" s="4"/>
      <c r="D341" s="4" t="s">
        <v>1624</v>
      </c>
      <c r="E341" s="4"/>
      <c r="F341" s="4"/>
      <c r="G341" s="4"/>
      <c r="H341" s="4" t="s">
        <v>60</v>
      </c>
      <c r="I341" s="4" t="s">
        <v>60</v>
      </c>
      <c r="J341" s="4" t="s">
        <v>2600</v>
      </c>
      <c r="K341" s="4"/>
      <c r="L341" s="4"/>
    </row>
    <row r="342" customFormat="false" ht="15" hidden="false" customHeight="false" outlineLevel="0" collapsed="false">
      <c r="A342" s="4" t="s">
        <v>2601</v>
      </c>
      <c r="B342" s="4" t="s">
        <v>1649</v>
      </c>
      <c r="C342" s="4"/>
      <c r="D342" s="4" t="s">
        <v>1624</v>
      </c>
      <c r="E342" s="4"/>
      <c r="F342" s="4"/>
      <c r="G342" s="4"/>
      <c r="H342" s="4" t="s">
        <v>36</v>
      </c>
      <c r="I342" s="4" t="s">
        <v>36</v>
      </c>
      <c r="J342" s="4" t="s">
        <v>2602</v>
      </c>
      <c r="K342" s="4"/>
      <c r="L342" s="4"/>
    </row>
    <row r="343" customFormat="false" ht="15" hidden="false" customHeight="false" outlineLevel="0" collapsed="false">
      <c r="A343" s="4" t="s">
        <v>2603</v>
      </c>
      <c r="B343" s="4" t="s">
        <v>1751</v>
      </c>
      <c r="C343" s="4"/>
      <c r="D343" s="4" t="s">
        <v>1713</v>
      </c>
      <c r="E343" s="4"/>
      <c r="F343" s="4"/>
      <c r="G343" s="4"/>
      <c r="H343" s="4" t="s">
        <v>60</v>
      </c>
      <c r="I343" s="4" t="s">
        <v>60</v>
      </c>
      <c r="J343" s="4" t="s">
        <v>2604</v>
      </c>
      <c r="K343" s="4"/>
      <c r="L343" s="4"/>
    </row>
    <row r="344" customFormat="false" ht="15" hidden="false" customHeight="false" outlineLevel="0" collapsed="false">
      <c r="A344" s="4" t="s">
        <v>2605</v>
      </c>
      <c r="B344" s="4" t="s">
        <v>1712</v>
      </c>
      <c r="C344" s="4"/>
      <c r="D344" s="4" t="s">
        <v>1713</v>
      </c>
      <c r="E344" s="4"/>
      <c r="F344" s="4"/>
      <c r="G344" s="4"/>
      <c r="H344" s="4" t="s">
        <v>36</v>
      </c>
      <c r="I344" s="4" t="s">
        <v>36</v>
      </c>
      <c r="J344" s="4" t="s">
        <v>2606</v>
      </c>
      <c r="K344" s="4"/>
      <c r="L344" s="4"/>
    </row>
    <row r="345" customFormat="false" ht="15" hidden="false" customHeight="false" outlineLevel="0" collapsed="false">
      <c r="A345" s="4" t="s">
        <v>2607</v>
      </c>
      <c r="B345" s="4" t="s">
        <v>1726</v>
      </c>
      <c r="C345" s="4"/>
      <c r="D345" s="4" t="s">
        <v>1713</v>
      </c>
      <c r="E345" s="4"/>
      <c r="F345" s="4"/>
      <c r="G345" s="4"/>
      <c r="H345" s="4" t="s">
        <v>60</v>
      </c>
      <c r="I345" s="4" t="s">
        <v>60</v>
      </c>
      <c r="J345" s="4" t="s">
        <v>2608</v>
      </c>
      <c r="K345" s="4"/>
      <c r="L345" s="4"/>
    </row>
    <row r="346" customFormat="false" ht="15" hidden="false" customHeight="false" outlineLevel="0" collapsed="false">
      <c r="A346" s="4" t="s">
        <v>2609</v>
      </c>
      <c r="B346" s="4" t="s">
        <v>1718</v>
      </c>
      <c r="C346" s="4"/>
      <c r="D346" s="4" t="s">
        <v>1713</v>
      </c>
      <c r="E346" s="4"/>
      <c r="F346" s="4"/>
      <c r="G346" s="4"/>
      <c r="H346" s="4" t="s">
        <v>36</v>
      </c>
      <c r="I346" s="4" t="s">
        <v>36</v>
      </c>
      <c r="J346" s="4" t="s">
        <v>2610</v>
      </c>
      <c r="K346" s="4"/>
      <c r="L346" s="4"/>
    </row>
    <row r="347" customFormat="false" ht="15" hidden="false" customHeight="false" outlineLevel="0" collapsed="false">
      <c r="A347" s="4" t="s">
        <v>2611</v>
      </c>
      <c r="B347" s="4" t="s">
        <v>1739</v>
      </c>
      <c r="C347" s="4"/>
      <c r="D347" s="4" t="s">
        <v>1713</v>
      </c>
      <c r="E347" s="4"/>
      <c r="F347" s="4"/>
      <c r="G347" s="4"/>
      <c r="H347" s="4" t="s">
        <v>60</v>
      </c>
      <c r="I347" s="4" t="s">
        <v>60</v>
      </c>
      <c r="J347" s="4" t="s">
        <v>2612</v>
      </c>
      <c r="K347" s="4"/>
      <c r="L347" s="4"/>
    </row>
    <row r="348" customFormat="false" ht="15" hidden="false" customHeight="false" outlineLevel="0" collapsed="false">
      <c r="A348" s="4" t="s">
        <v>2613</v>
      </c>
      <c r="B348" s="4" t="s">
        <v>1743</v>
      </c>
      <c r="C348" s="4"/>
      <c r="D348" s="4" t="s">
        <v>1713</v>
      </c>
      <c r="E348" s="4"/>
      <c r="F348" s="4"/>
      <c r="G348" s="4"/>
      <c r="H348" s="4" t="s">
        <v>60</v>
      </c>
      <c r="I348" s="4" t="s">
        <v>60</v>
      </c>
      <c r="J348" s="4" t="s">
        <v>2614</v>
      </c>
      <c r="K348" s="4"/>
      <c r="L348" s="4"/>
    </row>
    <row r="349" customFormat="false" ht="15" hidden="false" customHeight="false" outlineLevel="0" collapsed="false">
      <c r="A349" s="4" t="s">
        <v>2615</v>
      </c>
      <c r="B349" s="4" t="s">
        <v>1730</v>
      </c>
      <c r="C349" s="4"/>
      <c r="D349" s="4" t="s">
        <v>1713</v>
      </c>
      <c r="E349" s="4"/>
      <c r="F349" s="4"/>
      <c r="G349" s="4"/>
      <c r="H349" s="4" t="s">
        <v>60</v>
      </c>
      <c r="I349" s="4" t="s">
        <v>60</v>
      </c>
      <c r="J349" s="4" t="s">
        <v>2616</v>
      </c>
      <c r="K349" s="4"/>
      <c r="L349" s="4"/>
    </row>
    <row r="350" customFormat="false" ht="15" hidden="false" customHeight="false" outlineLevel="0" collapsed="false">
      <c r="A350" s="4" t="s">
        <v>2617</v>
      </c>
      <c r="B350" s="4" t="s">
        <v>1755</v>
      </c>
      <c r="C350" s="4"/>
      <c r="D350" s="4" t="s">
        <v>1713</v>
      </c>
      <c r="E350" s="4"/>
      <c r="F350" s="4"/>
      <c r="G350" s="4"/>
      <c r="H350" s="4" t="s">
        <v>60</v>
      </c>
      <c r="I350" s="4" t="s">
        <v>60</v>
      </c>
      <c r="J350" s="4" t="s">
        <v>2618</v>
      </c>
      <c r="K350" s="4"/>
      <c r="L350" s="4"/>
    </row>
    <row r="351" customFormat="false" ht="15" hidden="false" customHeight="false" outlineLevel="0" collapsed="false">
      <c r="A351" s="4" t="s">
        <v>2619</v>
      </c>
      <c r="B351" s="4" t="s">
        <v>1722</v>
      </c>
      <c r="C351" s="4"/>
      <c r="D351" s="4" t="s">
        <v>1713</v>
      </c>
      <c r="E351" s="4"/>
      <c r="F351" s="4"/>
      <c r="G351" s="4"/>
      <c r="H351" s="4" t="s">
        <v>60</v>
      </c>
      <c r="I351" s="4" t="s">
        <v>36</v>
      </c>
      <c r="J351" s="4" t="s">
        <v>2620</v>
      </c>
      <c r="K351" s="4"/>
      <c r="L351" s="4"/>
    </row>
    <row r="352" customFormat="false" ht="15" hidden="false" customHeight="false" outlineLevel="0" collapsed="false">
      <c r="A352" s="4" t="s">
        <v>2621</v>
      </c>
      <c r="B352" s="4" t="s">
        <v>1735</v>
      </c>
      <c r="C352" s="4"/>
      <c r="D352" s="4" t="s">
        <v>1713</v>
      </c>
      <c r="E352" s="4"/>
      <c r="F352" s="4"/>
      <c r="G352" s="4"/>
      <c r="H352" s="4" t="s">
        <v>60</v>
      </c>
      <c r="I352" s="4" t="s">
        <v>60</v>
      </c>
      <c r="J352" s="4" t="s">
        <v>2622</v>
      </c>
      <c r="K352" s="4"/>
      <c r="L352" s="4"/>
    </row>
    <row r="353" customFormat="false" ht="15" hidden="false" customHeight="false" outlineLevel="0" collapsed="false">
      <c r="A353" s="4" t="s">
        <v>2623</v>
      </c>
      <c r="B353" s="4" t="s">
        <v>1747</v>
      </c>
      <c r="C353" s="4"/>
      <c r="D353" s="4" t="s">
        <v>1713</v>
      </c>
      <c r="E353" s="4"/>
      <c r="F353" s="4"/>
      <c r="G353" s="4"/>
      <c r="H353" s="4" t="s">
        <v>60</v>
      </c>
      <c r="I353" s="4" t="s">
        <v>60</v>
      </c>
      <c r="J353" s="4" t="s">
        <v>2624</v>
      </c>
      <c r="K353" s="4"/>
      <c r="L353" s="4"/>
    </row>
    <row r="354" customFormat="false" ht="15" hidden="false" customHeight="false" outlineLevel="0" collapsed="false">
      <c r="A354" s="4" t="s">
        <v>2625</v>
      </c>
      <c r="B354" s="4" t="s">
        <v>1773</v>
      </c>
      <c r="C354" s="4"/>
      <c r="D354" s="4"/>
      <c r="E354" s="4" t="s">
        <v>1760</v>
      </c>
      <c r="F354" s="4"/>
      <c r="G354" s="4"/>
      <c r="H354" s="4" t="s">
        <v>60</v>
      </c>
      <c r="I354" s="4" t="s">
        <v>60</v>
      </c>
      <c r="J354" s="4" t="s">
        <v>2626</v>
      </c>
      <c r="K354" s="4"/>
      <c r="L354" s="4"/>
    </row>
    <row r="355" customFormat="false" ht="15" hidden="false" customHeight="false" outlineLevel="0" collapsed="false">
      <c r="A355" s="4" t="s">
        <v>2627</v>
      </c>
      <c r="B355" s="4" t="s">
        <v>1769</v>
      </c>
      <c r="C355" s="4"/>
      <c r="D355" s="4"/>
      <c r="E355" s="4" t="s">
        <v>1760</v>
      </c>
      <c r="F355" s="4"/>
      <c r="G355" s="4"/>
      <c r="H355" s="4" t="s">
        <v>60</v>
      </c>
      <c r="I355" s="4" t="s">
        <v>60</v>
      </c>
      <c r="J355" s="4" t="s">
        <v>2628</v>
      </c>
      <c r="K355" s="4"/>
      <c r="L355" s="4"/>
    </row>
    <row r="356" customFormat="false" ht="15" hidden="false" customHeight="false" outlineLevel="0" collapsed="false">
      <c r="A356" s="4" t="s">
        <v>2629</v>
      </c>
      <c r="B356" s="4" t="s">
        <v>1759</v>
      </c>
      <c r="C356" s="4"/>
      <c r="D356" s="4"/>
      <c r="E356" s="4" t="s">
        <v>1760</v>
      </c>
      <c r="F356" s="4"/>
      <c r="G356" s="4"/>
      <c r="H356" s="4" t="s">
        <v>36</v>
      </c>
      <c r="I356" s="4" t="s">
        <v>36</v>
      </c>
      <c r="J356" s="4" t="s">
        <v>2630</v>
      </c>
      <c r="K356" s="4"/>
      <c r="L356" s="4"/>
    </row>
    <row r="357" customFormat="false" ht="15" hidden="false" customHeight="false" outlineLevel="0" collapsed="false">
      <c r="A357" s="4" t="s">
        <v>2631</v>
      </c>
      <c r="B357" s="4" t="s">
        <v>1765</v>
      </c>
      <c r="C357" s="4"/>
      <c r="D357" s="4"/>
      <c r="E357" s="4" t="s">
        <v>1760</v>
      </c>
      <c r="F357" s="4"/>
      <c r="G357" s="4"/>
      <c r="H357" s="4" t="s">
        <v>60</v>
      </c>
      <c r="I357" s="4" t="s">
        <v>60</v>
      </c>
      <c r="J357" s="4" t="s">
        <v>2632</v>
      </c>
      <c r="K357" s="4"/>
      <c r="L357" s="4"/>
    </row>
    <row r="358" customFormat="false" ht="15" hidden="false" customHeight="false" outlineLevel="0" collapsed="false">
      <c r="A358" s="4" t="s">
        <v>2633</v>
      </c>
      <c r="B358" s="4" t="s">
        <v>1777</v>
      </c>
      <c r="C358" s="4"/>
      <c r="D358" s="4"/>
      <c r="E358" s="4" t="s">
        <v>1777</v>
      </c>
      <c r="F358" s="4"/>
      <c r="G358" s="4"/>
      <c r="H358" s="4" t="s">
        <v>36</v>
      </c>
      <c r="I358" s="4" t="s">
        <v>36</v>
      </c>
      <c r="J358" s="4" t="s">
        <v>2634</v>
      </c>
      <c r="K358" s="4"/>
      <c r="L358" s="4"/>
    </row>
    <row r="359" customFormat="false" ht="15" hidden="false" customHeight="false" outlineLevel="0" collapsed="false">
      <c r="A359" s="4" t="s">
        <v>2635</v>
      </c>
      <c r="B359" s="4" t="s">
        <v>1791</v>
      </c>
      <c r="C359" s="4"/>
      <c r="D359" s="4"/>
      <c r="E359" s="4" t="s">
        <v>1787</v>
      </c>
      <c r="F359" s="4"/>
      <c r="G359" s="4"/>
      <c r="H359" s="4" t="s">
        <v>36</v>
      </c>
      <c r="I359" s="4" t="s">
        <v>60</v>
      </c>
      <c r="J359" s="4" t="s">
        <v>2636</v>
      </c>
      <c r="K359" s="4"/>
      <c r="L359" s="4"/>
    </row>
    <row r="360" customFormat="false" ht="15" hidden="false" customHeight="false" outlineLevel="0" collapsed="false">
      <c r="A360" s="4" t="s">
        <v>2637</v>
      </c>
      <c r="B360" s="4" t="s">
        <v>1795</v>
      </c>
      <c r="C360" s="4"/>
      <c r="D360" s="4"/>
      <c r="E360" s="4" t="s">
        <v>1787</v>
      </c>
      <c r="F360" s="4"/>
      <c r="G360" s="4"/>
      <c r="H360" s="4" t="s">
        <v>60</v>
      </c>
      <c r="I360" s="4" t="s">
        <v>60</v>
      </c>
      <c r="J360" s="4" t="s">
        <v>2638</v>
      </c>
      <c r="K360" s="4"/>
      <c r="L360" s="4"/>
    </row>
    <row r="361" customFormat="false" ht="15" hidden="false" customHeight="false" outlineLevel="0" collapsed="false">
      <c r="A361" s="4" t="s">
        <v>2639</v>
      </c>
      <c r="B361" s="4" t="s">
        <v>1786</v>
      </c>
      <c r="C361" s="4"/>
      <c r="D361" s="4"/>
      <c r="E361" s="4" t="s">
        <v>1787</v>
      </c>
      <c r="F361" s="4"/>
      <c r="G361" s="4"/>
      <c r="H361" s="4" t="s">
        <v>36</v>
      </c>
      <c r="I361" s="4" t="s">
        <v>60</v>
      </c>
      <c r="J361" s="4" t="s">
        <v>2640</v>
      </c>
      <c r="K361" s="4"/>
      <c r="L361" s="4"/>
    </row>
    <row r="362" customFormat="false" ht="15" hidden="false" customHeight="false" outlineLevel="0" collapsed="false">
      <c r="A362" s="4" t="s">
        <v>2641</v>
      </c>
      <c r="B362" s="4" t="s">
        <v>1799</v>
      </c>
      <c r="C362" s="4"/>
      <c r="D362" s="4"/>
      <c r="E362" s="4" t="s">
        <v>1799</v>
      </c>
      <c r="F362" s="4"/>
      <c r="G362" s="4"/>
      <c r="H362" s="4" t="s">
        <v>36</v>
      </c>
      <c r="I362" s="4" t="s">
        <v>36</v>
      </c>
      <c r="J362" s="4" t="s">
        <v>2642</v>
      </c>
      <c r="K362" s="4"/>
      <c r="L362" s="4"/>
    </row>
    <row r="363" customFormat="false" ht="15" hidden="false" customHeight="false" outlineLevel="0" collapsed="false">
      <c r="A363" s="4" t="s">
        <v>2643</v>
      </c>
      <c r="B363" s="4" t="s">
        <v>1842</v>
      </c>
      <c r="C363" s="4"/>
      <c r="D363" s="4"/>
      <c r="E363" s="4" t="s">
        <v>1823</v>
      </c>
      <c r="F363" s="4"/>
      <c r="G363" s="4"/>
      <c r="H363" s="4" t="s">
        <v>60</v>
      </c>
      <c r="I363" s="4" t="s">
        <v>60</v>
      </c>
      <c r="J363" s="4" t="s">
        <v>2644</v>
      </c>
      <c r="K363" s="4"/>
      <c r="L363" s="4"/>
    </row>
    <row r="364" customFormat="false" ht="15" hidden="false" customHeight="false" outlineLevel="0" collapsed="false">
      <c r="A364" s="4" t="s">
        <v>2645</v>
      </c>
      <c r="B364" s="4" t="s">
        <v>1846</v>
      </c>
      <c r="C364" s="4"/>
      <c r="D364" s="4"/>
      <c r="E364" s="4" t="s">
        <v>1823</v>
      </c>
      <c r="F364" s="4"/>
      <c r="G364" s="4"/>
      <c r="H364" s="4" t="s">
        <v>60</v>
      </c>
      <c r="I364" s="4" t="s">
        <v>60</v>
      </c>
      <c r="J364" s="4" t="s">
        <v>2646</v>
      </c>
      <c r="K364" s="4"/>
      <c r="L364" s="4"/>
    </row>
    <row r="365" customFormat="false" ht="15" hidden="false" customHeight="false" outlineLevel="0" collapsed="false">
      <c r="A365" s="4" t="s">
        <v>2647</v>
      </c>
      <c r="B365" s="4" t="s">
        <v>1832</v>
      </c>
      <c r="C365" s="4"/>
      <c r="D365" s="4"/>
      <c r="E365" s="4" t="s">
        <v>1823</v>
      </c>
      <c r="F365" s="4"/>
      <c r="G365" s="4"/>
      <c r="H365" s="4" t="s">
        <v>36</v>
      </c>
      <c r="I365" s="4" t="s">
        <v>36</v>
      </c>
      <c r="J365" s="4" t="s">
        <v>2648</v>
      </c>
      <c r="K365" s="4"/>
      <c r="L365" s="4"/>
    </row>
    <row r="366" customFormat="false" ht="15" hidden="false" customHeight="false" outlineLevel="0" collapsed="false">
      <c r="A366" s="4" t="s">
        <v>2649</v>
      </c>
      <c r="B366" s="4" t="s">
        <v>1854</v>
      </c>
      <c r="C366" s="4"/>
      <c r="D366" s="4"/>
      <c r="E366" s="4" t="s">
        <v>1823</v>
      </c>
      <c r="F366" s="4"/>
      <c r="G366" s="4"/>
      <c r="H366" s="4" t="s">
        <v>60</v>
      </c>
      <c r="I366" s="4" t="s">
        <v>60</v>
      </c>
      <c r="J366" s="4" t="s">
        <v>2650</v>
      </c>
      <c r="K366" s="4"/>
      <c r="L366" s="4"/>
    </row>
    <row r="367" customFormat="false" ht="15" hidden="false" customHeight="false" outlineLevel="0" collapsed="false">
      <c r="A367" s="4" t="s">
        <v>2651</v>
      </c>
      <c r="B367" s="4" t="s">
        <v>1837</v>
      </c>
      <c r="C367" s="4"/>
      <c r="D367" s="4"/>
      <c r="E367" s="4" t="s">
        <v>1823</v>
      </c>
      <c r="F367" s="4"/>
      <c r="G367" s="4"/>
      <c r="H367" s="4" t="s">
        <v>60</v>
      </c>
      <c r="I367" s="4" t="s">
        <v>36</v>
      </c>
      <c r="J367" s="4" t="s">
        <v>2652</v>
      </c>
      <c r="K367" s="4"/>
      <c r="L367" s="4"/>
    </row>
    <row r="368" customFormat="false" ht="15" hidden="false" customHeight="false" outlineLevel="0" collapsed="false">
      <c r="A368" s="4" t="s">
        <v>2653</v>
      </c>
      <c r="B368" s="4" t="s">
        <v>1862</v>
      </c>
      <c r="C368" s="4"/>
      <c r="D368" s="4"/>
      <c r="E368" s="4" t="s">
        <v>1823</v>
      </c>
      <c r="F368" s="4"/>
      <c r="G368" s="4"/>
      <c r="H368" s="4" t="s">
        <v>60</v>
      </c>
      <c r="I368" s="4" t="s">
        <v>60</v>
      </c>
      <c r="J368" s="4" t="s">
        <v>2654</v>
      </c>
      <c r="K368" s="4"/>
      <c r="L368" s="4"/>
    </row>
    <row r="369" customFormat="false" ht="15" hidden="false" customHeight="false" outlineLevel="0" collapsed="false">
      <c r="A369" s="4" t="s">
        <v>2655</v>
      </c>
      <c r="B369" s="4" t="s">
        <v>1858</v>
      </c>
      <c r="C369" s="4"/>
      <c r="D369" s="4"/>
      <c r="E369" s="4" t="s">
        <v>1823</v>
      </c>
      <c r="F369" s="4"/>
      <c r="G369" s="4"/>
      <c r="H369" s="4" t="s">
        <v>60</v>
      </c>
      <c r="I369" s="4" t="s">
        <v>60</v>
      </c>
      <c r="J369" s="4" t="s">
        <v>2656</v>
      </c>
      <c r="K369" s="4"/>
      <c r="L369" s="4"/>
    </row>
    <row r="370" customFormat="false" ht="15" hidden="false" customHeight="false" outlineLevel="0" collapsed="false">
      <c r="A370" s="4" t="s">
        <v>2657</v>
      </c>
      <c r="B370" s="4" t="s">
        <v>1822</v>
      </c>
      <c r="C370" s="4"/>
      <c r="D370" s="4"/>
      <c r="E370" s="4" t="s">
        <v>1823</v>
      </c>
      <c r="F370" s="4"/>
      <c r="G370" s="4"/>
      <c r="H370" s="4" t="s">
        <v>36</v>
      </c>
      <c r="I370" s="4" t="s">
        <v>36</v>
      </c>
      <c r="J370" s="4" t="s">
        <v>2658</v>
      </c>
      <c r="K370" s="4"/>
      <c r="L370" s="4"/>
    </row>
    <row r="371" customFormat="false" ht="15" hidden="false" customHeight="false" outlineLevel="0" collapsed="false">
      <c r="A371" s="4" t="s">
        <v>2659</v>
      </c>
      <c r="B371" s="4" t="s">
        <v>1850</v>
      </c>
      <c r="C371" s="4"/>
      <c r="D371" s="4"/>
      <c r="E371" s="4" t="s">
        <v>1823</v>
      </c>
      <c r="F371" s="4"/>
      <c r="G371" s="4"/>
      <c r="H371" s="4" t="s">
        <v>60</v>
      </c>
      <c r="I371" s="4" t="s">
        <v>60</v>
      </c>
      <c r="J371" s="4" t="s">
        <v>2660</v>
      </c>
      <c r="K371" s="4"/>
      <c r="L371" s="4"/>
    </row>
    <row r="372" customFormat="false" ht="15" hidden="false" customHeight="false" outlineLevel="0" collapsed="false">
      <c r="A372" s="4" t="s">
        <v>2661</v>
      </c>
      <c r="B372" s="4" t="s">
        <v>1872</v>
      </c>
      <c r="C372" s="4"/>
      <c r="D372" s="4"/>
      <c r="E372" s="4" t="s">
        <v>1867</v>
      </c>
      <c r="F372" s="4"/>
      <c r="G372" s="4"/>
      <c r="H372" s="4" t="s">
        <v>60</v>
      </c>
      <c r="I372" s="4" t="s">
        <v>60</v>
      </c>
      <c r="J372" s="4" t="s">
        <v>2662</v>
      </c>
      <c r="K372" s="4"/>
      <c r="L372" s="4"/>
    </row>
    <row r="373" customFormat="false" ht="15" hidden="false" customHeight="false" outlineLevel="0" collapsed="false">
      <c r="A373" s="4" t="s">
        <v>2663</v>
      </c>
      <c r="B373" s="4" t="s">
        <v>1866</v>
      </c>
      <c r="C373" s="4"/>
      <c r="D373" s="4"/>
      <c r="E373" s="4" t="s">
        <v>1867</v>
      </c>
      <c r="F373" s="4"/>
      <c r="G373" s="4"/>
      <c r="H373" s="4" t="s">
        <v>36</v>
      </c>
      <c r="I373" s="4" t="s">
        <v>36</v>
      </c>
      <c r="J373" s="4" t="s">
        <v>2664</v>
      </c>
      <c r="K373" s="4"/>
      <c r="L373" s="4"/>
    </row>
    <row r="374" customFormat="false" ht="15" hidden="false" customHeight="false" outlineLevel="0" collapsed="false">
      <c r="A374" s="4" t="s">
        <v>2665</v>
      </c>
      <c r="B374" s="4" t="s">
        <v>2666</v>
      </c>
      <c r="C374" s="4"/>
      <c r="D374" s="4"/>
      <c r="E374" s="4" t="s">
        <v>2667</v>
      </c>
      <c r="F374" s="4"/>
      <c r="G374" s="4"/>
      <c r="H374" s="4" t="s">
        <v>60</v>
      </c>
      <c r="I374" s="4" t="s">
        <v>60</v>
      </c>
      <c r="J374" s="4" t="s">
        <v>2668</v>
      </c>
      <c r="K374" s="4"/>
      <c r="L374" s="4"/>
    </row>
    <row r="375" customFormat="false" ht="15" hidden="false" customHeight="false" outlineLevel="0" collapsed="false">
      <c r="A375" s="4" t="s">
        <v>2669</v>
      </c>
      <c r="B375" s="4" t="s">
        <v>2670</v>
      </c>
      <c r="C375" s="4"/>
      <c r="D375" s="4"/>
      <c r="E375" s="4" t="s">
        <v>2667</v>
      </c>
      <c r="F375" s="4"/>
      <c r="G375" s="4"/>
      <c r="H375" s="4" t="s">
        <v>36</v>
      </c>
      <c r="I375" s="4" t="s">
        <v>60</v>
      </c>
      <c r="J375" s="4" t="s">
        <v>2671</v>
      </c>
      <c r="K375" s="4"/>
      <c r="L375" s="4"/>
    </row>
    <row r="376" customFormat="false" ht="15" hidden="false" customHeight="false" outlineLevel="0" collapsed="false">
      <c r="A376" s="4" t="s">
        <v>2672</v>
      </c>
      <c r="B376" s="4" t="s">
        <v>2673</v>
      </c>
      <c r="C376" s="4"/>
      <c r="D376" s="4"/>
      <c r="E376" s="4" t="s">
        <v>2667</v>
      </c>
      <c r="F376" s="4"/>
      <c r="G376" s="4"/>
      <c r="H376" s="4" t="s">
        <v>60</v>
      </c>
      <c r="I376" s="4" t="s">
        <v>60</v>
      </c>
      <c r="J376" s="4" t="s">
        <v>2674</v>
      </c>
      <c r="K376" s="4"/>
      <c r="L376" s="4"/>
    </row>
    <row r="377" customFormat="false" ht="15" hidden="false" customHeight="false" outlineLevel="0" collapsed="false">
      <c r="A377" s="4" t="s">
        <v>2675</v>
      </c>
      <c r="B377" s="4" t="s">
        <v>1881</v>
      </c>
      <c r="C377" s="4"/>
      <c r="D377" s="4"/>
      <c r="E377" s="4" t="s">
        <v>1876</v>
      </c>
      <c r="F377" s="4"/>
      <c r="G377" s="4"/>
      <c r="H377" s="4" t="s">
        <v>60</v>
      </c>
      <c r="I377" s="4" t="s">
        <v>60</v>
      </c>
      <c r="J377" s="4" t="s">
        <v>2676</v>
      </c>
      <c r="K377" s="4"/>
      <c r="L377" s="4"/>
    </row>
    <row r="378" customFormat="false" ht="15" hidden="false" customHeight="false" outlineLevel="0" collapsed="false">
      <c r="A378" s="4" t="s">
        <v>2677</v>
      </c>
      <c r="B378" s="4" t="s">
        <v>1885</v>
      </c>
      <c r="C378" s="4"/>
      <c r="D378" s="4"/>
      <c r="E378" s="4" t="s">
        <v>1876</v>
      </c>
      <c r="F378" s="4"/>
      <c r="G378" s="4"/>
      <c r="H378" s="4" t="s">
        <v>60</v>
      </c>
      <c r="I378" s="4" t="s">
        <v>60</v>
      </c>
      <c r="J378" s="4" t="s">
        <v>2678</v>
      </c>
      <c r="K378" s="4"/>
      <c r="L378" s="4"/>
    </row>
    <row r="379" customFormat="false" ht="15" hidden="false" customHeight="false" outlineLevel="0" collapsed="false">
      <c r="A379" s="4" t="s">
        <v>2679</v>
      </c>
      <c r="B379" s="4" t="s">
        <v>1876</v>
      </c>
      <c r="C379" s="4"/>
      <c r="D379" s="4"/>
      <c r="E379" s="4" t="s">
        <v>1876</v>
      </c>
      <c r="F379" s="4"/>
      <c r="G379" s="4"/>
      <c r="H379" s="4" t="s">
        <v>36</v>
      </c>
      <c r="I379" s="4" t="s">
        <v>36</v>
      </c>
      <c r="J379" s="4" t="s">
        <v>2680</v>
      </c>
      <c r="K379" s="4" t="s">
        <v>2681</v>
      </c>
      <c r="L379" s="4"/>
    </row>
    <row r="380" customFormat="false" ht="15" hidden="false" customHeight="false" outlineLevel="0" collapsed="false">
      <c r="A380" s="4" t="s">
        <v>2682</v>
      </c>
      <c r="B380" s="4" t="s">
        <v>1889</v>
      </c>
      <c r="C380" s="4"/>
      <c r="D380" s="4"/>
      <c r="E380" s="4" t="s">
        <v>1876</v>
      </c>
      <c r="F380" s="4"/>
      <c r="G380" s="4"/>
      <c r="H380" s="4" t="s">
        <v>60</v>
      </c>
      <c r="I380" s="4" t="s">
        <v>60</v>
      </c>
      <c r="J380" s="4" t="s">
        <v>2683</v>
      </c>
      <c r="K380" s="4"/>
      <c r="L380" s="4"/>
    </row>
  </sheetData>
  <dataValidations count="2">
    <dataValidation allowBlank="true" errorStyle="stop" operator="between" showDropDown="false" showErrorMessage="false" showInputMessage="false" sqref="H2:H1380" type="list">
      <formula1>"Y,N"</formula1>
      <formula2>0</formula2>
    </dataValidation>
    <dataValidation allowBlank="true" errorStyle="stop" operator="between" showDropDown="false" showErrorMessage="false" showInputMessage="false" sqref="I2:I138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9" min="8" style="0" width="14"/>
    <col collapsed="false" customWidth="true" hidden="false" outlineLevel="0" max="10" min="10" style="0" width="44"/>
    <col collapsed="false" customWidth="true" hidden="false" outlineLevel="0" max="12" min="11" style="0" width="18"/>
    <col collapsed="false" customWidth="true" hidden="false" outlineLevel="0" max="14" min="13" style="0" width="12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36"/>
    <col collapsed="false" customWidth="true" hidden="false" outlineLevel="0" max="18" min="18" style="0" width="14"/>
    <col collapsed="false" customWidth="true" hidden="false" outlineLevel="0" max="19" min="19" style="0" width="50"/>
    <col collapsed="false" customWidth="true" hidden="false" outlineLevel="0" max="20" min="20" style="0" width="40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70"/>
  </cols>
  <sheetData>
    <row r="1" customFormat="false" ht="30" hidden="false" customHeight="true" outlineLevel="0" collapsed="false">
      <c r="A1" s="3" t="s">
        <v>2684</v>
      </c>
      <c r="B1" s="3" t="s">
        <v>2685</v>
      </c>
      <c r="C1" s="3" t="s">
        <v>2686</v>
      </c>
      <c r="D1" s="3" t="s">
        <v>2687</v>
      </c>
      <c r="E1" s="3" t="s">
        <v>2688</v>
      </c>
      <c r="F1" s="3" t="s">
        <v>2689</v>
      </c>
      <c r="G1" s="3" t="s">
        <v>2690</v>
      </c>
      <c r="H1" s="3" t="s">
        <v>2691</v>
      </c>
      <c r="I1" s="3" t="s">
        <v>2692</v>
      </c>
      <c r="J1" s="3" t="s">
        <v>2693</v>
      </c>
      <c r="K1" s="3" t="s">
        <v>2694</v>
      </c>
      <c r="L1" s="3" t="s">
        <v>2695</v>
      </c>
      <c r="M1" s="3" t="s">
        <v>2696</v>
      </c>
      <c r="N1" s="3" t="s">
        <v>2697</v>
      </c>
      <c r="O1" s="3" t="s">
        <v>2698</v>
      </c>
      <c r="P1" s="3" t="s">
        <v>2699</v>
      </c>
      <c r="Q1" s="3" t="s">
        <v>2700</v>
      </c>
      <c r="R1" s="3" t="s">
        <v>2701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customFormat="false" ht="15" hidden="false" customHeight="false" outlineLevel="0" collapsed="false">
      <c r="A2" s="4" t="s">
        <v>2702</v>
      </c>
      <c r="B2" s="4"/>
      <c r="C2" s="4" t="s">
        <v>2703</v>
      </c>
      <c r="D2" s="4" t="s">
        <v>33</v>
      </c>
      <c r="E2" s="4" t="s">
        <v>34</v>
      </c>
      <c r="F2" s="4"/>
      <c r="G2" s="4" t="s">
        <v>174</v>
      </c>
      <c r="H2" s="4" t="s">
        <v>174</v>
      </c>
      <c r="I2" s="4" t="s">
        <v>34</v>
      </c>
      <c r="J2" s="4" t="s">
        <v>2704</v>
      </c>
      <c r="K2" s="4" t="s">
        <v>2705</v>
      </c>
      <c r="L2" s="4"/>
      <c r="M2" s="4"/>
      <c r="N2" s="4"/>
      <c r="O2" s="4" t="s">
        <v>37</v>
      </c>
      <c r="P2" s="4" t="s">
        <v>2706</v>
      </c>
      <c r="Q2" s="4"/>
      <c r="R2" s="4"/>
      <c r="S2" s="4" t="s">
        <v>2707</v>
      </c>
      <c r="T2" s="4" t="s">
        <v>2708</v>
      </c>
      <c r="U2" s="4" t="s">
        <v>42</v>
      </c>
      <c r="V2" s="6" t="n">
        <v>46297</v>
      </c>
      <c r="W2" s="4" t="s">
        <v>2709</v>
      </c>
    </row>
    <row r="3" customFormat="false" ht="15" hidden="false" customHeight="false" outlineLevel="0" collapsed="false">
      <c r="A3" s="4" t="s">
        <v>2710</v>
      </c>
      <c r="B3" s="4"/>
      <c r="C3" s="4" t="s">
        <v>33</v>
      </c>
      <c r="D3" s="4" t="s">
        <v>33</v>
      </c>
      <c r="E3" s="4" t="s">
        <v>34</v>
      </c>
      <c r="F3" s="4"/>
      <c r="G3" s="4" t="s">
        <v>155</v>
      </c>
      <c r="H3" s="4" t="s">
        <v>155</v>
      </c>
      <c r="I3" s="4" t="s">
        <v>34</v>
      </c>
      <c r="J3" s="4" t="s">
        <v>2711</v>
      </c>
      <c r="K3" s="4" t="s">
        <v>2705</v>
      </c>
      <c r="L3" s="4"/>
      <c r="M3" s="4"/>
      <c r="N3" s="4"/>
      <c r="O3" s="4" t="s">
        <v>2712</v>
      </c>
      <c r="P3" s="4" t="s">
        <v>2706</v>
      </c>
      <c r="Q3" s="4" t="s">
        <v>2713</v>
      </c>
      <c r="R3" s="4"/>
      <c r="S3" s="4" t="s">
        <v>107</v>
      </c>
      <c r="T3" s="4" t="s">
        <v>108</v>
      </c>
      <c r="U3" s="4" t="s">
        <v>42</v>
      </c>
      <c r="V3" s="6" t="n">
        <v>46297</v>
      </c>
      <c r="W3" s="4" t="s">
        <v>2709</v>
      </c>
    </row>
    <row r="4" customFormat="false" ht="15" hidden="false" customHeight="false" outlineLevel="0" collapsed="false">
      <c r="A4" s="4" t="s">
        <v>2714</v>
      </c>
      <c r="B4" s="4" t="s">
        <v>101</v>
      </c>
      <c r="C4" s="4" t="s">
        <v>2715</v>
      </c>
      <c r="D4" s="4" t="s">
        <v>33</v>
      </c>
      <c r="E4" s="4" t="s">
        <v>34</v>
      </c>
      <c r="F4" s="4"/>
      <c r="G4" s="4" t="s">
        <v>160</v>
      </c>
      <c r="H4" s="4" t="s">
        <v>160</v>
      </c>
      <c r="I4" s="4" t="s">
        <v>34</v>
      </c>
      <c r="J4" s="4" t="s">
        <v>2716</v>
      </c>
      <c r="K4" s="4" t="s">
        <v>2705</v>
      </c>
      <c r="L4" s="4"/>
      <c r="M4" s="4"/>
      <c r="N4" s="4"/>
      <c r="O4" s="4" t="s">
        <v>2717</v>
      </c>
      <c r="P4" s="4" t="s">
        <v>2706</v>
      </c>
      <c r="Q4" s="4" t="s">
        <v>2718</v>
      </c>
      <c r="R4" s="4"/>
      <c r="S4" s="4" t="s">
        <v>107</v>
      </c>
      <c r="T4" s="4" t="s">
        <v>108</v>
      </c>
      <c r="U4" s="4" t="s">
        <v>42</v>
      </c>
      <c r="V4" s="6" t="n">
        <v>46297</v>
      </c>
      <c r="W4" s="4" t="s">
        <v>2709</v>
      </c>
    </row>
    <row r="5" customFormat="false" ht="15" hidden="false" customHeight="false" outlineLevel="0" collapsed="false">
      <c r="A5" s="4" t="s">
        <v>2719</v>
      </c>
      <c r="B5" s="4"/>
      <c r="C5" s="4" t="s">
        <v>33</v>
      </c>
      <c r="D5" s="4" t="s">
        <v>33</v>
      </c>
      <c r="E5" s="4" t="s">
        <v>34</v>
      </c>
      <c r="F5" s="4"/>
      <c r="G5" s="4" t="s">
        <v>212</v>
      </c>
      <c r="H5" s="4" t="s">
        <v>212</v>
      </c>
      <c r="I5" s="4" t="s">
        <v>34</v>
      </c>
      <c r="J5" s="4" t="s">
        <v>2720</v>
      </c>
      <c r="K5" s="4" t="s">
        <v>2705</v>
      </c>
      <c r="L5" s="4"/>
      <c r="M5" s="4"/>
      <c r="N5" s="4"/>
      <c r="O5" s="4" t="s">
        <v>2717</v>
      </c>
      <c r="P5" s="4" t="s">
        <v>2706</v>
      </c>
      <c r="Q5" s="4" t="s">
        <v>2721</v>
      </c>
      <c r="R5" s="4"/>
      <c r="S5" s="4" t="s">
        <v>2722</v>
      </c>
      <c r="T5" s="4" t="s">
        <v>2723</v>
      </c>
      <c r="U5" s="4" t="s">
        <v>42</v>
      </c>
      <c r="V5" s="6" t="n">
        <v>46297</v>
      </c>
      <c r="W5" s="4" t="s">
        <v>2709</v>
      </c>
    </row>
    <row r="6" customFormat="false" ht="15" hidden="false" customHeight="false" outlineLevel="0" collapsed="false">
      <c r="A6" s="4" t="s">
        <v>2724</v>
      </c>
      <c r="B6" s="4"/>
      <c r="C6" s="4" t="s">
        <v>33</v>
      </c>
      <c r="D6" s="4" t="s">
        <v>33</v>
      </c>
      <c r="E6" s="4" t="s">
        <v>34</v>
      </c>
      <c r="F6" s="4"/>
      <c r="G6" s="4" t="s">
        <v>204</v>
      </c>
      <c r="H6" s="4" t="s">
        <v>204</v>
      </c>
      <c r="I6" s="4" t="s">
        <v>34</v>
      </c>
      <c r="J6" s="4" t="s">
        <v>2725</v>
      </c>
      <c r="K6" s="4" t="s">
        <v>2705</v>
      </c>
      <c r="L6" s="4" t="s">
        <v>2726</v>
      </c>
      <c r="M6" s="4"/>
      <c r="N6" s="4"/>
      <c r="O6" s="4" t="s">
        <v>37</v>
      </c>
      <c r="P6" s="4" t="s">
        <v>2706</v>
      </c>
      <c r="Q6" s="4"/>
      <c r="R6" s="4"/>
      <c r="S6" s="4" t="s">
        <v>2722</v>
      </c>
      <c r="T6" s="4" t="s">
        <v>2723</v>
      </c>
      <c r="U6" s="4" t="s">
        <v>42</v>
      </c>
      <c r="V6" s="6" t="n">
        <v>46297</v>
      </c>
      <c r="W6" s="4" t="s">
        <v>2727</v>
      </c>
    </row>
    <row r="7" customFormat="false" ht="15" hidden="false" customHeight="false" outlineLevel="0" collapsed="false">
      <c r="A7" s="4" t="s">
        <v>2728</v>
      </c>
      <c r="B7" s="4"/>
      <c r="C7" s="4" t="s">
        <v>33</v>
      </c>
      <c r="D7" s="4" t="s">
        <v>33</v>
      </c>
      <c r="E7" s="4" t="s">
        <v>34</v>
      </c>
      <c r="F7" s="4"/>
      <c r="G7" s="4" t="s">
        <v>208</v>
      </c>
      <c r="H7" s="4" t="s">
        <v>208</v>
      </c>
      <c r="I7" s="4" t="s">
        <v>34</v>
      </c>
      <c r="J7" s="4" t="s">
        <v>2729</v>
      </c>
      <c r="K7" s="4" t="s">
        <v>2730</v>
      </c>
      <c r="L7" s="4" t="s">
        <v>160</v>
      </c>
      <c r="M7" s="4"/>
      <c r="N7" s="4"/>
      <c r="O7" s="4" t="s">
        <v>37</v>
      </c>
      <c r="P7" s="4" t="s">
        <v>2731</v>
      </c>
      <c r="Q7" s="4"/>
      <c r="R7" s="4"/>
      <c r="S7" s="4" t="s">
        <v>2732</v>
      </c>
      <c r="T7" s="4" t="s">
        <v>2733</v>
      </c>
      <c r="U7" s="4" t="s">
        <v>42</v>
      </c>
      <c r="V7" s="6" t="n">
        <v>46297</v>
      </c>
      <c r="W7" s="4" t="s">
        <v>2709</v>
      </c>
    </row>
    <row r="8" customFormat="false" ht="15" hidden="false" customHeight="false" outlineLevel="0" collapsed="false">
      <c r="A8" s="4" t="s">
        <v>2734</v>
      </c>
      <c r="B8" s="4" t="s">
        <v>101</v>
      </c>
      <c r="C8" s="4" t="s">
        <v>2715</v>
      </c>
      <c r="D8" s="4" t="s">
        <v>33</v>
      </c>
      <c r="E8" s="4" t="s">
        <v>34</v>
      </c>
      <c r="F8" s="4"/>
      <c r="G8" s="4" t="s">
        <v>208</v>
      </c>
      <c r="H8" s="4" t="s">
        <v>208</v>
      </c>
      <c r="I8" s="4" t="s">
        <v>34</v>
      </c>
      <c r="J8" s="4" t="s">
        <v>2735</v>
      </c>
      <c r="K8" s="4" t="s">
        <v>2730</v>
      </c>
      <c r="L8" s="4" t="s">
        <v>200</v>
      </c>
      <c r="M8" s="4"/>
      <c r="N8" s="4"/>
      <c r="O8" s="4" t="s">
        <v>2717</v>
      </c>
      <c r="P8" s="4" t="s">
        <v>2706</v>
      </c>
      <c r="Q8" s="4" t="s">
        <v>2736</v>
      </c>
      <c r="R8" s="4"/>
      <c r="S8" s="4" t="s">
        <v>2732</v>
      </c>
      <c r="T8" s="4" t="s">
        <v>2733</v>
      </c>
      <c r="U8" s="4" t="s">
        <v>42</v>
      </c>
      <c r="V8" s="6" t="n">
        <v>46297</v>
      </c>
      <c r="W8" s="4" t="s">
        <v>2709</v>
      </c>
    </row>
    <row r="9" customFormat="false" ht="15" hidden="false" customHeight="false" outlineLevel="0" collapsed="false">
      <c r="A9" s="4" t="s">
        <v>2737</v>
      </c>
      <c r="B9" s="4" t="s">
        <v>101</v>
      </c>
      <c r="C9" s="4" t="s">
        <v>2715</v>
      </c>
      <c r="D9" s="4" t="s">
        <v>33</v>
      </c>
      <c r="E9" s="4" t="s">
        <v>34</v>
      </c>
      <c r="F9" s="4"/>
      <c r="G9" s="4" t="s">
        <v>208</v>
      </c>
      <c r="H9" s="4" t="s">
        <v>208</v>
      </c>
      <c r="I9" s="4" t="s">
        <v>34</v>
      </c>
      <c r="J9" s="4" t="s">
        <v>2738</v>
      </c>
      <c r="K9" s="4" t="s">
        <v>2730</v>
      </c>
      <c r="L9" s="4" t="s">
        <v>160</v>
      </c>
      <c r="M9" s="4"/>
      <c r="N9" s="4"/>
      <c r="O9" s="4" t="s">
        <v>2717</v>
      </c>
      <c r="P9" s="4" t="s">
        <v>2706</v>
      </c>
      <c r="Q9" s="4" t="s">
        <v>2739</v>
      </c>
      <c r="R9" s="4"/>
      <c r="S9" s="4" t="s">
        <v>2732</v>
      </c>
      <c r="T9" s="4" t="s">
        <v>2733</v>
      </c>
      <c r="U9" s="4" t="s">
        <v>42</v>
      </c>
      <c r="V9" s="6" t="n">
        <v>46297</v>
      </c>
      <c r="W9" s="4" t="s">
        <v>2709</v>
      </c>
    </row>
    <row r="10" customFormat="false" ht="15" hidden="false" customHeight="false" outlineLevel="0" collapsed="false">
      <c r="A10" s="4" t="s">
        <v>2740</v>
      </c>
      <c r="B10" s="4"/>
      <c r="C10" s="4" t="s">
        <v>33</v>
      </c>
      <c r="D10" s="4" t="s">
        <v>33</v>
      </c>
      <c r="E10" s="4" t="s">
        <v>34</v>
      </c>
      <c r="F10" s="4"/>
      <c r="G10" s="4" t="s">
        <v>217</v>
      </c>
      <c r="H10" s="4" t="s">
        <v>217</v>
      </c>
      <c r="I10" s="4" t="s">
        <v>34</v>
      </c>
      <c r="J10" s="4" t="s">
        <v>2741</v>
      </c>
      <c r="K10" s="4" t="s">
        <v>2705</v>
      </c>
      <c r="L10" s="4"/>
      <c r="M10" s="4"/>
      <c r="N10" s="4"/>
      <c r="O10" s="4" t="s">
        <v>37</v>
      </c>
      <c r="P10" s="4" t="s">
        <v>2706</v>
      </c>
      <c r="Q10" s="4"/>
      <c r="R10" s="4"/>
      <c r="S10" s="4" t="s">
        <v>107</v>
      </c>
      <c r="T10" s="4" t="s">
        <v>108</v>
      </c>
      <c r="U10" s="4" t="s">
        <v>42</v>
      </c>
      <c r="V10" s="6" t="n">
        <v>46297</v>
      </c>
      <c r="W10" s="4" t="s">
        <v>2742</v>
      </c>
    </row>
    <row r="11" customFormat="false" ht="15" hidden="false" customHeight="false" outlineLevel="0" collapsed="false">
      <c r="A11" s="4" t="s">
        <v>2743</v>
      </c>
      <c r="B11" s="4"/>
      <c r="C11" s="4" t="s">
        <v>33</v>
      </c>
      <c r="D11" s="4" t="s">
        <v>33</v>
      </c>
      <c r="E11" s="4" t="s">
        <v>34</v>
      </c>
      <c r="F11" s="4"/>
      <c r="G11" s="4" t="s">
        <v>239</v>
      </c>
      <c r="H11" s="4" t="s">
        <v>239</v>
      </c>
      <c r="I11" s="4" t="s">
        <v>34</v>
      </c>
      <c r="J11" s="4" t="s">
        <v>2744</v>
      </c>
      <c r="K11" s="4" t="s">
        <v>2705</v>
      </c>
      <c r="L11" s="4"/>
      <c r="M11" s="4"/>
      <c r="N11" s="4"/>
      <c r="O11" s="4" t="s">
        <v>37</v>
      </c>
      <c r="P11" s="4" t="s">
        <v>2706</v>
      </c>
      <c r="Q11" s="4"/>
      <c r="R11" s="4"/>
      <c r="S11" s="4" t="s">
        <v>107</v>
      </c>
      <c r="T11" s="4" t="s">
        <v>108</v>
      </c>
      <c r="U11" s="4" t="s">
        <v>42</v>
      </c>
      <c r="V11" s="6" t="n">
        <v>46297</v>
      </c>
      <c r="W11" s="4" t="s">
        <v>2742</v>
      </c>
    </row>
    <row r="12" customFormat="false" ht="15" hidden="false" customHeight="false" outlineLevel="0" collapsed="false">
      <c r="A12" s="4" t="s">
        <v>2745</v>
      </c>
      <c r="B12" s="4"/>
      <c r="C12" s="4" t="s">
        <v>33</v>
      </c>
      <c r="D12" s="4" t="s">
        <v>33</v>
      </c>
      <c r="E12" s="4" t="s">
        <v>34</v>
      </c>
      <c r="F12" s="4"/>
      <c r="G12" s="4" t="s">
        <v>165</v>
      </c>
      <c r="H12" s="4" t="s">
        <v>165</v>
      </c>
      <c r="I12" s="4" t="s">
        <v>34</v>
      </c>
      <c r="J12" s="4" t="s">
        <v>2746</v>
      </c>
      <c r="K12" s="4" t="s">
        <v>2705</v>
      </c>
      <c r="L12" s="4"/>
      <c r="M12" s="4"/>
      <c r="N12" s="4"/>
      <c r="O12" s="4" t="s">
        <v>37</v>
      </c>
      <c r="P12" s="4" t="s">
        <v>2706</v>
      </c>
      <c r="Q12" s="4"/>
      <c r="R12" s="4"/>
      <c r="S12" s="4" t="s">
        <v>107</v>
      </c>
      <c r="T12" s="4" t="s">
        <v>108</v>
      </c>
      <c r="U12" s="4" t="s">
        <v>42</v>
      </c>
      <c r="V12" s="6" t="n">
        <v>46297</v>
      </c>
      <c r="W12" s="4" t="s">
        <v>2742</v>
      </c>
    </row>
    <row r="13" customFormat="false" ht="15" hidden="false" customHeight="false" outlineLevel="0" collapsed="false">
      <c r="A13" s="4" t="s">
        <v>2747</v>
      </c>
      <c r="B13" s="4"/>
      <c r="C13" s="4" t="s">
        <v>33</v>
      </c>
      <c r="D13" s="4" t="s">
        <v>33</v>
      </c>
      <c r="E13" s="4" t="s">
        <v>34</v>
      </c>
      <c r="F13" s="4"/>
      <c r="G13" s="4" t="s">
        <v>179</v>
      </c>
      <c r="H13" s="4" t="s">
        <v>179</v>
      </c>
      <c r="I13" s="4" t="s">
        <v>34</v>
      </c>
      <c r="J13" s="4" t="s">
        <v>2748</v>
      </c>
      <c r="K13" s="4" t="s">
        <v>2705</v>
      </c>
      <c r="L13" s="4"/>
      <c r="M13" s="4"/>
      <c r="N13" s="4"/>
      <c r="O13" s="4" t="s">
        <v>37</v>
      </c>
      <c r="P13" s="4" t="s">
        <v>2706</v>
      </c>
      <c r="Q13" s="4"/>
      <c r="R13" s="4"/>
      <c r="S13" s="4" t="s">
        <v>107</v>
      </c>
      <c r="T13" s="4" t="s">
        <v>108</v>
      </c>
      <c r="U13" s="4" t="s">
        <v>42</v>
      </c>
      <c r="V13" s="6" t="n">
        <v>46297</v>
      </c>
      <c r="W13" s="4" t="s">
        <v>2742</v>
      </c>
    </row>
    <row r="14" customFormat="false" ht="15" hidden="false" customHeight="false" outlineLevel="0" collapsed="false">
      <c r="A14" s="4" t="s">
        <v>2749</v>
      </c>
      <c r="B14" s="4"/>
      <c r="C14" s="4" t="s">
        <v>33</v>
      </c>
      <c r="D14" s="4" t="s">
        <v>33</v>
      </c>
      <c r="E14" s="4" t="s">
        <v>34</v>
      </c>
      <c r="F14" s="4"/>
      <c r="G14" s="4" t="s">
        <v>141</v>
      </c>
      <c r="H14" s="4" t="s">
        <v>141</v>
      </c>
      <c r="I14" s="4" t="s">
        <v>34</v>
      </c>
      <c r="J14" s="4" t="s">
        <v>2750</v>
      </c>
      <c r="K14" s="4" t="s">
        <v>2705</v>
      </c>
      <c r="L14" s="4"/>
      <c r="M14" s="4"/>
      <c r="N14" s="4"/>
      <c r="O14" s="4" t="s">
        <v>37</v>
      </c>
      <c r="P14" s="4" t="s">
        <v>2706</v>
      </c>
      <c r="Q14" s="4"/>
      <c r="R14" s="4"/>
      <c r="S14" s="4" t="s">
        <v>107</v>
      </c>
      <c r="T14" s="4" t="s">
        <v>108</v>
      </c>
      <c r="U14" s="4" t="s">
        <v>42</v>
      </c>
      <c r="V14" s="6" t="n">
        <v>46297</v>
      </c>
      <c r="W14" s="4" t="s">
        <v>2742</v>
      </c>
    </row>
    <row r="15" customFormat="false" ht="15" hidden="false" customHeight="false" outlineLevel="0" collapsed="false">
      <c r="A15" s="4" t="s">
        <v>2751</v>
      </c>
      <c r="B15" s="4" t="s">
        <v>158</v>
      </c>
      <c r="C15" s="4" t="s">
        <v>160</v>
      </c>
      <c r="D15" s="4" t="s">
        <v>160</v>
      </c>
      <c r="E15" s="4" t="s">
        <v>34</v>
      </c>
      <c r="F15" s="4"/>
      <c r="G15" s="4" t="s">
        <v>2752</v>
      </c>
      <c r="H15" s="4" t="s">
        <v>33</v>
      </c>
      <c r="I15" s="4" t="s">
        <v>34</v>
      </c>
      <c r="J15" s="4" t="s">
        <v>2753</v>
      </c>
      <c r="K15" s="4" t="s">
        <v>2754</v>
      </c>
      <c r="L15" s="4"/>
      <c r="M15" s="4"/>
      <c r="N15" s="4"/>
      <c r="O15" s="4" t="s">
        <v>37</v>
      </c>
      <c r="P15" s="4" t="s">
        <v>2706</v>
      </c>
      <c r="Q15" s="4"/>
      <c r="R15" s="4"/>
      <c r="S15" s="4" t="s">
        <v>107</v>
      </c>
      <c r="T15" s="4" t="s">
        <v>108</v>
      </c>
      <c r="U15" s="4" t="s">
        <v>42</v>
      </c>
      <c r="V15" s="6" t="n">
        <v>46297</v>
      </c>
      <c r="W15" s="4" t="s">
        <v>2755</v>
      </c>
    </row>
    <row r="16" customFormat="false" ht="15" hidden="false" customHeight="false" outlineLevel="0" collapsed="false">
      <c r="A16" s="4" t="s">
        <v>2756</v>
      </c>
      <c r="B16" s="4" t="s">
        <v>65</v>
      </c>
      <c r="C16" s="4" t="s">
        <v>66</v>
      </c>
      <c r="D16" s="4" t="s">
        <v>33</v>
      </c>
      <c r="E16" s="4" t="s">
        <v>34</v>
      </c>
      <c r="F16" s="4" t="s">
        <v>44</v>
      </c>
      <c r="G16" s="4" t="s">
        <v>45</v>
      </c>
      <c r="H16" s="4" t="s">
        <v>33</v>
      </c>
      <c r="I16" s="4" t="s">
        <v>34</v>
      </c>
      <c r="J16" s="4" t="s">
        <v>2757</v>
      </c>
      <c r="K16" s="4" t="s">
        <v>2758</v>
      </c>
      <c r="L16" s="4" t="s">
        <v>2759</v>
      </c>
      <c r="M16" s="4"/>
      <c r="N16" s="4"/>
      <c r="O16" s="4" t="s">
        <v>37</v>
      </c>
      <c r="P16" s="4" t="s">
        <v>2760</v>
      </c>
      <c r="Q16" s="4" t="s">
        <v>2761</v>
      </c>
      <c r="R16" s="4" t="s">
        <v>2762</v>
      </c>
      <c r="S16" s="4" t="s">
        <v>69</v>
      </c>
      <c r="T16" s="4" t="s">
        <v>70</v>
      </c>
      <c r="U16" s="4" t="s">
        <v>42</v>
      </c>
      <c r="V16" s="6" t="n">
        <v>46297</v>
      </c>
      <c r="W16" s="4" t="s">
        <v>2763</v>
      </c>
    </row>
    <row r="17" customFormat="false" ht="15" hidden="false" customHeight="false" outlineLevel="0" collapsed="false">
      <c r="A17" s="4" t="s">
        <v>2764</v>
      </c>
      <c r="B17" s="4" t="s">
        <v>71</v>
      </c>
      <c r="C17" s="4" t="s">
        <v>72</v>
      </c>
      <c r="D17" s="4" t="s">
        <v>33</v>
      </c>
      <c r="E17" s="4" t="s">
        <v>34</v>
      </c>
      <c r="F17" s="4" t="s">
        <v>44</v>
      </c>
      <c r="G17" s="4" t="s">
        <v>45</v>
      </c>
      <c r="H17" s="4" t="s">
        <v>33</v>
      </c>
      <c r="I17" s="4" t="s">
        <v>34</v>
      </c>
      <c r="J17" s="4" t="s">
        <v>2765</v>
      </c>
      <c r="K17" s="4" t="s">
        <v>2758</v>
      </c>
      <c r="L17" s="4" t="s">
        <v>2759</v>
      </c>
      <c r="M17" s="4"/>
      <c r="N17" s="4"/>
      <c r="O17" s="4" t="s">
        <v>37</v>
      </c>
      <c r="P17" s="4" t="s">
        <v>2760</v>
      </c>
      <c r="Q17" s="4" t="s">
        <v>2766</v>
      </c>
      <c r="R17" s="4" t="s">
        <v>2762</v>
      </c>
      <c r="S17" s="4" t="s">
        <v>75</v>
      </c>
      <c r="T17" s="4" t="s">
        <v>76</v>
      </c>
      <c r="U17" s="4" t="s">
        <v>42</v>
      </c>
      <c r="V17" s="6" t="n">
        <v>46297</v>
      </c>
      <c r="W17" s="4" t="s">
        <v>2767</v>
      </c>
    </row>
    <row r="18" customFormat="false" ht="15" hidden="false" customHeight="false" outlineLevel="0" collapsed="false">
      <c r="A18" s="4" t="s">
        <v>2768</v>
      </c>
      <c r="B18" s="4" t="s">
        <v>58</v>
      </c>
      <c r="C18" s="4" t="s">
        <v>59</v>
      </c>
      <c r="D18" s="4" t="s">
        <v>33</v>
      </c>
      <c r="E18" s="4" t="s">
        <v>34</v>
      </c>
      <c r="F18" s="4" t="s">
        <v>85</v>
      </c>
      <c r="G18" s="4" t="s">
        <v>86</v>
      </c>
      <c r="H18" s="4" t="s">
        <v>92</v>
      </c>
      <c r="I18" s="4" t="s">
        <v>34</v>
      </c>
      <c r="J18" s="4" t="s">
        <v>2769</v>
      </c>
      <c r="K18" s="4" t="s">
        <v>2758</v>
      </c>
      <c r="L18" s="4" t="s">
        <v>2759</v>
      </c>
      <c r="M18" s="4"/>
      <c r="N18" s="4"/>
      <c r="O18" s="4" t="s">
        <v>37</v>
      </c>
      <c r="P18" s="4" t="s">
        <v>2770</v>
      </c>
      <c r="Q18" s="4"/>
      <c r="R18" s="4"/>
      <c r="S18" s="4" t="s">
        <v>63</v>
      </c>
      <c r="T18" s="4" t="s">
        <v>64</v>
      </c>
      <c r="U18" s="4" t="s">
        <v>42</v>
      </c>
      <c r="V18" s="6" t="n">
        <v>46297</v>
      </c>
      <c r="W18" s="4" t="s">
        <v>2771</v>
      </c>
    </row>
  </sheetData>
  <dataValidations count="2">
    <dataValidation allowBlank="true" errorStyle="stop" operator="between" showDropDown="false" showErrorMessage="false" showInputMessage="false" sqref="K2:K1018" type="list">
      <formula1>"Intercity,Intrastate,Interstate,State Transport,Private,Airport Connection,Regional,Long Distance"</formula1>
      <formula2>0</formula2>
    </dataValidation>
    <dataValidation allowBlank="true" errorStyle="stop" operator="between" showDropDown="false" showErrorMessage="false" showInputMessage="false" sqref="U2:U1018" type="list">
      <formula1>"Verified,Partially Verified,Needs Verification"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10" min="9" style="0" width="16"/>
    <col collapsed="false" customWidth="true" hidden="false" outlineLevel="0" max="12" min="11" style="0" width="12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0"/>
    <col collapsed="false" customWidth="true" hidden="false" outlineLevel="0" max="16" min="16" style="0" width="50"/>
    <col collapsed="false" customWidth="true" hidden="false" outlineLevel="0" max="17" min="17" style="0" width="18"/>
    <col collapsed="false" customWidth="true" hidden="false" outlineLevel="0" max="18" min="18" style="0" width="70"/>
    <col collapsed="false" customWidth="true" hidden="false" outlineLevel="0" max="20" min="19" style="0" width="24"/>
  </cols>
  <sheetData>
    <row r="1" customFormat="false" ht="30" hidden="false" customHeight="true" outlineLevel="0" collapsed="false">
      <c r="A1" s="3" t="s">
        <v>2772</v>
      </c>
      <c r="B1" s="3" t="s">
        <v>2688</v>
      </c>
      <c r="C1" s="3" t="s">
        <v>2687</v>
      </c>
      <c r="D1" s="3" t="s">
        <v>2773</v>
      </c>
      <c r="E1" s="3" t="s">
        <v>2692</v>
      </c>
      <c r="F1" s="3" t="s">
        <v>2691</v>
      </c>
      <c r="G1" s="3" t="s">
        <v>2774</v>
      </c>
      <c r="H1" s="3" t="s">
        <v>2693</v>
      </c>
      <c r="I1" s="3" t="s">
        <v>2775</v>
      </c>
      <c r="J1" s="3" t="s">
        <v>2695</v>
      </c>
      <c r="K1" s="3" t="s">
        <v>2696</v>
      </c>
      <c r="L1" s="3" t="s">
        <v>2697</v>
      </c>
      <c r="M1" s="3" t="s">
        <v>2698</v>
      </c>
      <c r="N1" s="3" t="s">
        <v>2699</v>
      </c>
      <c r="O1" s="3" t="s">
        <v>2700</v>
      </c>
      <c r="P1" s="3" t="s">
        <v>25</v>
      </c>
      <c r="Q1" s="3" t="s">
        <v>27</v>
      </c>
      <c r="R1" s="3" t="s">
        <v>29</v>
      </c>
      <c r="S1" s="3" t="s">
        <v>2685</v>
      </c>
      <c r="T1" s="3" t="s">
        <v>2689</v>
      </c>
    </row>
    <row r="2" customFormat="false" ht="15" hidden="false" customHeight="false" outlineLevel="0" collapsed="false">
      <c r="A2" s="4" t="s">
        <v>2776</v>
      </c>
      <c r="B2" s="4" t="s">
        <v>34</v>
      </c>
      <c r="C2" s="4" t="s">
        <v>33</v>
      </c>
      <c r="D2" s="4" t="s">
        <v>2777</v>
      </c>
      <c r="E2" s="4" t="s">
        <v>414</v>
      </c>
      <c r="F2" s="4" t="s">
        <v>413</v>
      </c>
      <c r="G2" s="4" t="s">
        <v>2778</v>
      </c>
      <c r="H2" s="4" t="s">
        <v>2779</v>
      </c>
      <c r="I2" s="4"/>
      <c r="J2" s="4"/>
      <c r="K2" s="4"/>
      <c r="L2" s="4"/>
      <c r="M2" s="4" t="s">
        <v>415</v>
      </c>
      <c r="N2" s="4" t="s">
        <v>2780</v>
      </c>
      <c r="O2" s="4" t="s">
        <v>2781</v>
      </c>
      <c r="P2" s="4" t="s">
        <v>2782</v>
      </c>
      <c r="Q2" s="4" t="s">
        <v>42</v>
      </c>
      <c r="R2" s="4" t="s">
        <v>2783</v>
      </c>
      <c r="S2" s="4"/>
      <c r="T2" s="4"/>
    </row>
    <row r="3" customFormat="false" ht="15" hidden="false" customHeight="false" outlineLevel="0" collapsed="false">
      <c r="A3" s="4" t="s">
        <v>2784</v>
      </c>
      <c r="B3" s="4" t="s">
        <v>34</v>
      </c>
      <c r="C3" s="4" t="s">
        <v>33</v>
      </c>
      <c r="D3" s="4" t="s">
        <v>2777</v>
      </c>
      <c r="E3" s="4" t="s">
        <v>414</v>
      </c>
      <c r="F3" s="4" t="s">
        <v>439</v>
      </c>
      <c r="G3" s="4" t="s">
        <v>2785</v>
      </c>
      <c r="H3" s="4" t="s">
        <v>2786</v>
      </c>
      <c r="I3" s="4"/>
      <c r="J3" s="4"/>
      <c r="K3" s="4"/>
      <c r="L3" s="4"/>
      <c r="M3" s="4" t="s">
        <v>415</v>
      </c>
      <c r="N3" s="4" t="s">
        <v>2780</v>
      </c>
      <c r="O3" s="4" t="s">
        <v>2787</v>
      </c>
      <c r="P3" s="4" t="s">
        <v>2788</v>
      </c>
      <c r="Q3" s="4" t="s">
        <v>42</v>
      </c>
      <c r="R3" s="4" t="s">
        <v>2783</v>
      </c>
      <c r="S3" s="4"/>
      <c r="T3" s="4"/>
    </row>
    <row r="4" customFormat="false" ht="15" hidden="false" customHeight="false" outlineLevel="0" collapsed="false">
      <c r="A4" s="4" t="s">
        <v>2789</v>
      </c>
      <c r="B4" s="4" t="s">
        <v>414</v>
      </c>
      <c r="C4" s="4" t="s">
        <v>413</v>
      </c>
      <c r="D4" s="4" t="s">
        <v>2778</v>
      </c>
      <c r="E4" s="4" t="s">
        <v>1799</v>
      </c>
      <c r="F4" s="4" t="s">
        <v>1799</v>
      </c>
      <c r="G4" s="4" t="s">
        <v>1803</v>
      </c>
      <c r="H4" s="4" t="s">
        <v>2790</v>
      </c>
      <c r="I4" s="4"/>
      <c r="J4" s="4"/>
      <c r="K4" s="4"/>
      <c r="L4" s="4"/>
      <c r="M4" s="4" t="s">
        <v>415</v>
      </c>
      <c r="N4" s="4" t="s">
        <v>2780</v>
      </c>
      <c r="O4" s="4" t="s">
        <v>2791</v>
      </c>
      <c r="P4" s="4" t="s">
        <v>1806</v>
      </c>
      <c r="Q4" s="4" t="s">
        <v>42</v>
      </c>
      <c r="R4" s="4" t="s">
        <v>2792</v>
      </c>
      <c r="S4" s="4"/>
      <c r="T4" s="4" t="s">
        <v>1802</v>
      </c>
    </row>
    <row r="5" customFormat="false" ht="15" hidden="false" customHeight="false" outlineLevel="0" collapsed="false">
      <c r="A5" s="4" t="s">
        <v>2793</v>
      </c>
      <c r="B5" s="4" t="s">
        <v>414</v>
      </c>
      <c r="C5" s="4" t="s">
        <v>435</v>
      </c>
      <c r="D5" s="4" t="s">
        <v>2794</v>
      </c>
      <c r="E5" s="4" t="s">
        <v>1799</v>
      </c>
      <c r="F5" s="4" t="s">
        <v>1799</v>
      </c>
      <c r="G5" s="4" t="s">
        <v>1803</v>
      </c>
      <c r="H5" s="4" t="s">
        <v>2795</v>
      </c>
      <c r="I5" s="4"/>
      <c r="J5" s="4"/>
      <c r="K5" s="4"/>
      <c r="L5" s="4"/>
      <c r="M5" s="4" t="s">
        <v>415</v>
      </c>
      <c r="N5" s="4" t="s">
        <v>2780</v>
      </c>
      <c r="O5" s="4" t="s">
        <v>2791</v>
      </c>
      <c r="P5" s="4" t="s">
        <v>1806</v>
      </c>
      <c r="Q5" s="4" t="s">
        <v>42</v>
      </c>
      <c r="R5" s="4" t="s">
        <v>2792</v>
      </c>
      <c r="S5" s="4"/>
      <c r="T5" s="4" t="s">
        <v>1802</v>
      </c>
    </row>
    <row r="6" customFormat="false" ht="15" hidden="false" customHeight="false" outlineLevel="0" collapsed="false">
      <c r="A6" s="4" t="s">
        <v>2796</v>
      </c>
      <c r="B6" s="4" t="s">
        <v>414</v>
      </c>
      <c r="C6" s="4" t="s">
        <v>447</v>
      </c>
      <c r="D6" s="4" t="s">
        <v>2797</v>
      </c>
      <c r="E6" s="4" t="s">
        <v>1799</v>
      </c>
      <c r="F6" s="4" t="s">
        <v>1799</v>
      </c>
      <c r="G6" s="4" t="s">
        <v>1803</v>
      </c>
      <c r="H6" s="4" t="s">
        <v>2798</v>
      </c>
      <c r="I6" s="4"/>
      <c r="J6" s="4"/>
      <c r="K6" s="4"/>
      <c r="L6" s="4"/>
      <c r="M6" s="4" t="s">
        <v>415</v>
      </c>
      <c r="N6" s="4" t="s">
        <v>2780</v>
      </c>
      <c r="O6" s="4" t="s">
        <v>2791</v>
      </c>
      <c r="P6" s="4" t="s">
        <v>1806</v>
      </c>
      <c r="Q6" s="4" t="s">
        <v>42</v>
      </c>
      <c r="R6" s="4" t="s">
        <v>2792</v>
      </c>
      <c r="S6" s="4"/>
      <c r="T6" s="4" t="s">
        <v>1802</v>
      </c>
    </row>
    <row r="7" customFormat="false" ht="15" hidden="false" customHeight="false" outlineLevel="0" collapsed="false">
      <c r="A7" s="4" t="s">
        <v>2799</v>
      </c>
      <c r="B7" s="4" t="s">
        <v>414</v>
      </c>
      <c r="C7" s="4" t="s">
        <v>430</v>
      </c>
      <c r="D7" s="4" t="s">
        <v>2800</v>
      </c>
      <c r="E7" s="4" t="s">
        <v>1799</v>
      </c>
      <c r="F7" s="4" t="s">
        <v>1799</v>
      </c>
      <c r="G7" s="4" t="s">
        <v>1803</v>
      </c>
      <c r="H7" s="4" t="s">
        <v>2801</v>
      </c>
      <c r="I7" s="4"/>
      <c r="J7" s="4"/>
      <c r="K7" s="4"/>
      <c r="L7" s="4"/>
      <c r="M7" s="4" t="s">
        <v>415</v>
      </c>
      <c r="N7" s="4" t="s">
        <v>2780</v>
      </c>
      <c r="O7" s="4" t="s">
        <v>2791</v>
      </c>
      <c r="P7" s="4" t="s">
        <v>1806</v>
      </c>
      <c r="Q7" s="4" t="s">
        <v>42</v>
      </c>
      <c r="R7" s="4" t="s">
        <v>2792</v>
      </c>
      <c r="S7" s="4"/>
      <c r="T7" s="4" t="s">
        <v>1802</v>
      </c>
    </row>
    <row r="8" customFormat="false" ht="15" hidden="false" customHeight="false" outlineLevel="0" collapsed="false">
      <c r="A8" s="4" t="s">
        <v>2802</v>
      </c>
      <c r="B8" s="4" t="s">
        <v>414</v>
      </c>
      <c r="C8" s="4" t="s">
        <v>443</v>
      </c>
      <c r="D8" s="4" t="s">
        <v>2803</v>
      </c>
      <c r="E8" s="4" t="s">
        <v>1799</v>
      </c>
      <c r="F8" s="4" t="s">
        <v>1799</v>
      </c>
      <c r="G8" s="4" t="s">
        <v>1803</v>
      </c>
      <c r="H8" s="4" t="s">
        <v>2804</v>
      </c>
      <c r="I8" s="4"/>
      <c r="J8" s="4"/>
      <c r="K8" s="4"/>
      <c r="L8" s="4"/>
      <c r="M8" s="4" t="s">
        <v>415</v>
      </c>
      <c r="N8" s="4" t="s">
        <v>2780</v>
      </c>
      <c r="O8" s="4" t="s">
        <v>2791</v>
      </c>
      <c r="P8" s="4" t="s">
        <v>1806</v>
      </c>
      <c r="Q8" s="4" t="s">
        <v>42</v>
      </c>
      <c r="R8" s="4" t="s">
        <v>2792</v>
      </c>
      <c r="S8" s="4"/>
      <c r="T8" s="4" t="s">
        <v>1802</v>
      </c>
    </row>
    <row r="9" customFormat="false" ht="15" hidden="false" customHeight="false" outlineLevel="0" collapsed="false">
      <c r="A9" s="4" t="s">
        <v>2805</v>
      </c>
      <c r="B9" s="4" t="s">
        <v>414</v>
      </c>
      <c r="C9" s="4" t="s">
        <v>413</v>
      </c>
      <c r="D9" s="4" t="s">
        <v>2778</v>
      </c>
      <c r="E9" s="4" t="s">
        <v>1624</v>
      </c>
      <c r="F9" s="4" t="s">
        <v>1669</v>
      </c>
      <c r="G9" s="4" t="s">
        <v>2806</v>
      </c>
      <c r="H9" s="4" t="s">
        <v>2807</v>
      </c>
      <c r="I9" s="4"/>
      <c r="J9" s="4"/>
      <c r="K9" s="4"/>
      <c r="L9" s="4"/>
      <c r="M9" s="4" t="s">
        <v>415</v>
      </c>
      <c r="N9" s="4" t="s">
        <v>2731</v>
      </c>
      <c r="O9" s="4"/>
      <c r="P9" s="4" t="s">
        <v>418</v>
      </c>
      <c r="Q9" s="4" t="s">
        <v>42</v>
      </c>
      <c r="R9" s="4" t="s">
        <v>2808</v>
      </c>
      <c r="S9" s="4"/>
      <c r="T9" s="4"/>
    </row>
    <row r="10" customFormat="false" ht="15" hidden="false" customHeight="false" outlineLevel="0" collapsed="false">
      <c r="A10" s="4" t="s">
        <v>2809</v>
      </c>
      <c r="B10" s="4" t="s">
        <v>414</v>
      </c>
      <c r="C10" s="4" t="s">
        <v>451</v>
      </c>
      <c r="D10" s="4" t="s">
        <v>2810</v>
      </c>
      <c r="E10" s="4" t="s">
        <v>1624</v>
      </c>
      <c r="F10" s="4" t="s">
        <v>1669</v>
      </c>
      <c r="G10" s="4" t="s">
        <v>2806</v>
      </c>
      <c r="H10" s="4" t="s">
        <v>2811</v>
      </c>
      <c r="I10" s="4"/>
      <c r="J10" s="4"/>
      <c r="K10" s="4"/>
      <c r="L10" s="4"/>
      <c r="M10" s="4" t="s">
        <v>415</v>
      </c>
      <c r="N10" s="4" t="s">
        <v>2731</v>
      </c>
      <c r="O10" s="4"/>
      <c r="P10" s="4" t="s">
        <v>418</v>
      </c>
      <c r="Q10" s="4" t="s">
        <v>42</v>
      </c>
      <c r="R10" s="4" t="s">
        <v>2808</v>
      </c>
      <c r="S10" s="4"/>
      <c r="T10" s="4"/>
    </row>
  </sheetData>
  <dataValidations count="1">
    <dataValidation allowBlank="true" errorStyle="stop" operator="between" showDropDown="false" showErrorMessage="false" showInputMessage="false" sqref="Q2:Q1010" type="list">
      <formula1>"Verified,Partially Verified,Needs Verification"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60"/>
    <col collapsed="false" customWidth="true" hidden="false" outlineLevel="0" max="8" min="8" style="0" width="18"/>
    <col collapsed="false" customWidth="true" hidden="false" outlineLevel="0" max="9" min="9" style="0" width="70"/>
  </cols>
  <sheetData>
    <row r="1" customFormat="false" ht="30" hidden="false" customHeight="true" outlineLevel="0" collapsed="false">
      <c r="A1" s="3" t="s">
        <v>2812</v>
      </c>
      <c r="B1" s="3" t="s">
        <v>2813</v>
      </c>
      <c r="C1" s="3" t="s">
        <v>2814</v>
      </c>
      <c r="D1" s="3" t="s">
        <v>12</v>
      </c>
      <c r="E1" s="3" t="s">
        <v>2815</v>
      </c>
      <c r="F1" s="3" t="s">
        <v>2816</v>
      </c>
      <c r="G1" s="3" t="s">
        <v>25</v>
      </c>
      <c r="H1" s="3" t="s">
        <v>27</v>
      </c>
      <c r="I1" s="3" t="s">
        <v>29</v>
      </c>
    </row>
    <row r="2" customFormat="false" ht="15" hidden="false" customHeight="false" outlineLevel="0" collapsed="false">
      <c r="A2" s="4" t="s">
        <v>2817</v>
      </c>
      <c r="B2" s="4" t="s">
        <v>37</v>
      </c>
      <c r="C2" s="4" t="s">
        <v>2706</v>
      </c>
      <c r="D2" s="4" t="s">
        <v>34</v>
      </c>
      <c r="E2" s="4" t="s">
        <v>33</v>
      </c>
      <c r="F2" s="4" t="s">
        <v>2818</v>
      </c>
      <c r="G2" s="4" t="s">
        <v>2819</v>
      </c>
      <c r="H2" s="4" t="s">
        <v>42</v>
      </c>
      <c r="I2" s="4" t="s">
        <v>2820</v>
      </c>
    </row>
    <row r="3" customFormat="false" ht="15" hidden="false" customHeight="false" outlineLevel="0" collapsed="false">
      <c r="A3" s="4" t="s">
        <v>2717</v>
      </c>
      <c r="B3" s="4" t="s">
        <v>104</v>
      </c>
      <c r="C3" s="4" t="s">
        <v>2706</v>
      </c>
      <c r="D3" s="4" t="s">
        <v>34</v>
      </c>
      <c r="E3" s="4" t="s">
        <v>33</v>
      </c>
      <c r="F3" s="4"/>
      <c r="G3" s="4" t="s">
        <v>2722</v>
      </c>
      <c r="H3" s="4" t="s">
        <v>42</v>
      </c>
      <c r="I3" s="4" t="s">
        <v>2820</v>
      </c>
    </row>
    <row r="4" customFormat="false" ht="15" hidden="false" customHeight="false" outlineLevel="0" collapsed="false">
      <c r="A4" s="4" t="s">
        <v>2821</v>
      </c>
      <c r="B4" s="4" t="s">
        <v>2822</v>
      </c>
      <c r="C4" s="4" t="s">
        <v>2706</v>
      </c>
      <c r="D4" s="4" t="s">
        <v>34</v>
      </c>
      <c r="E4" s="4" t="s">
        <v>2823</v>
      </c>
      <c r="F4" s="4"/>
      <c r="G4" s="4"/>
      <c r="H4" s="4" t="s">
        <v>56</v>
      </c>
      <c r="I4" s="4" t="s">
        <v>2824</v>
      </c>
    </row>
    <row r="5" customFormat="false" ht="15" hidden="false" customHeight="false" outlineLevel="0" collapsed="false">
      <c r="A5" s="4" t="s">
        <v>2825</v>
      </c>
      <c r="B5" s="4" t="s">
        <v>2826</v>
      </c>
      <c r="C5" s="4" t="s">
        <v>2706</v>
      </c>
      <c r="D5" s="4" t="s">
        <v>261</v>
      </c>
      <c r="E5" s="4" t="s">
        <v>260</v>
      </c>
      <c r="F5" s="4"/>
      <c r="G5" s="4"/>
      <c r="H5" s="4" t="s">
        <v>56</v>
      </c>
      <c r="I5" s="4" t="s">
        <v>2824</v>
      </c>
    </row>
    <row r="6" customFormat="false" ht="15" hidden="false" customHeight="false" outlineLevel="0" collapsed="false">
      <c r="A6" s="4" t="s">
        <v>2827</v>
      </c>
      <c r="B6" s="4" t="s">
        <v>2828</v>
      </c>
      <c r="C6" s="4" t="s">
        <v>2706</v>
      </c>
      <c r="D6" s="4" t="s">
        <v>322</v>
      </c>
      <c r="E6" s="4" t="s">
        <v>321</v>
      </c>
      <c r="F6" s="4"/>
      <c r="G6" s="4"/>
      <c r="H6" s="4" t="s">
        <v>56</v>
      </c>
      <c r="I6" s="4" t="s">
        <v>2824</v>
      </c>
    </row>
    <row r="7" customFormat="false" ht="15" hidden="false" customHeight="false" outlineLevel="0" collapsed="false">
      <c r="A7" s="4" t="s">
        <v>2829</v>
      </c>
      <c r="B7" s="4" t="s">
        <v>2830</v>
      </c>
      <c r="C7" s="4" t="s">
        <v>2706</v>
      </c>
      <c r="D7" s="4" t="s">
        <v>356</v>
      </c>
      <c r="E7" s="4" t="s">
        <v>355</v>
      </c>
      <c r="F7" s="4"/>
      <c r="G7" s="4"/>
      <c r="H7" s="4" t="s">
        <v>56</v>
      </c>
      <c r="I7" s="4" t="s">
        <v>2824</v>
      </c>
    </row>
    <row r="8" customFormat="false" ht="15" hidden="false" customHeight="false" outlineLevel="0" collapsed="false">
      <c r="A8" s="4" t="s">
        <v>2831</v>
      </c>
      <c r="B8" s="4" t="s">
        <v>415</v>
      </c>
      <c r="C8" s="4" t="s">
        <v>2706</v>
      </c>
      <c r="D8" s="4" t="s">
        <v>414</v>
      </c>
      <c r="E8" s="4" t="s">
        <v>413</v>
      </c>
      <c r="F8" s="4" t="s">
        <v>2832</v>
      </c>
      <c r="G8" s="4" t="s">
        <v>418</v>
      </c>
      <c r="H8" s="4" t="s">
        <v>42</v>
      </c>
      <c r="I8" s="4" t="s">
        <v>2820</v>
      </c>
    </row>
    <row r="9" customFormat="false" ht="15" hidden="false" customHeight="false" outlineLevel="0" collapsed="false">
      <c r="A9" s="4" t="s">
        <v>2833</v>
      </c>
      <c r="B9" s="4" t="s">
        <v>2834</v>
      </c>
      <c r="C9" s="4" t="s">
        <v>2706</v>
      </c>
      <c r="D9" s="4" t="s">
        <v>496</v>
      </c>
      <c r="E9" s="4" t="s">
        <v>495</v>
      </c>
      <c r="F9" s="4"/>
      <c r="G9" s="4"/>
      <c r="H9" s="4" t="s">
        <v>56</v>
      </c>
      <c r="I9" s="4" t="s">
        <v>2824</v>
      </c>
    </row>
    <row r="10" customFormat="false" ht="15" hidden="false" customHeight="false" outlineLevel="0" collapsed="false">
      <c r="A10" s="4" t="s">
        <v>2835</v>
      </c>
      <c r="B10" s="4" t="s">
        <v>2836</v>
      </c>
      <c r="C10" s="4" t="s">
        <v>2706</v>
      </c>
      <c r="D10" s="4" t="s">
        <v>538</v>
      </c>
      <c r="E10" s="4" t="s">
        <v>537</v>
      </c>
      <c r="F10" s="4"/>
      <c r="G10" s="4"/>
      <c r="H10" s="4" t="s">
        <v>56</v>
      </c>
      <c r="I10" s="4" t="s">
        <v>2824</v>
      </c>
    </row>
    <row r="11" customFormat="false" ht="15" hidden="false" customHeight="false" outlineLevel="0" collapsed="false">
      <c r="A11" s="4" t="s">
        <v>2837</v>
      </c>
      <c r="B11" s="4" t="s">
        <v>2838</v>
      </c>
      <c r="C11" s="4" t="s">
        <v>2706</v>
      </c>
      <c r="D11" s="4" t="s">
        <v>572</v>
      </c>
      <c r="E11" s="4" t="s">
        <v>571</v>
      </c>
      <c r="F11" s="4"/>
      <c r="G11" s="4"/>
      <c r="H11" s="4" t="s">
        <v>56</v>
      </c>
      <c r="I11" s="4" t="s">
        <v>2824</v>
      </c>
    </row>
    <row r="12" customFormat="false" ht="15" hidden="false" customHeight="false" outlineLevel="0" collapsed="false">
      <c r="A12" s="4" t="s">
        <v>2839</v>
      </c>
      <c r="B12" s="4" t="s">
        <v>2840</v>
      </c>
      <c r="C12" s="4" t="s">
        <v>2706</v>
      </c>
      <c r="D12" s="4" t="s">
        <v>642</v>
      </c>
      <c r="E12" s="4" t="s">
        <v>1777</v>
      </c>
      <c r="F12" s="4"/>
      <c r="G12" s="4"/>
      <c r="H12" s="4" t="s">
        <v>56</v>
      </c>
      <c r="I12" s="4" t="s">
        <v>2824</v>
      </c>
    </row>
    <row r="13" customFormat="false" ht="15" hidden="false" customHeight="false" outlineLevel="0" collapsed="false">
      <c r="A13" s="4" t="s">
        <v>2841</v>
      </c>
      <c r="B13" s="4" t="s">
        <v>2842</v>
      </c>
      <c r="C13" s="4" t="s">
        <v>2706</v>
      </c>
      <c r="D13" s="4" t="s">
        <v>707</v>
      </c>
      <c r="E13" s="4" t="s">
        <v>706</v>
      </c>
      <c r="F13" s="4"/>
      <c r="G13" s="4"/>
      <c r="H13" s="4" t="s">
        <v>56</v>
      </c>
      <c r="I13" s="4" t="s">
        <v>2824</v>
      </c>
    </row>
    <row r="14" customFormat="false" ht="15" hidden="false" customHeight="false" outlineLevel="0" collapsed="false">
      <c r="A14" s="4" t="s">
        <v>2843</v>
      </c>
      <c r="B14" s="4" t="s">
        <v>2844</v>
      </c>
      <c r="C14" s="4" t="s">
        <v>2706</v>
      </c>
      <c r="D14" s="4" t="s">
        <v>770</v>
      </c>
      <c r="E14" s="4" t="s">
        <v>769</v>
      </c>
      <c r="F14" s="4"/>
      <c r="G14" s="4"/>
      <c r="H14" s="4" t="s">
        <v>56</v>
      </c>
      <c r="I14" s="4" t="s">
        <v>2824</v>
      </c>
    </row>
    <row r="15" customFormat="false" ht="15" hidden="false" customHeight="false" outlineLevel="0" collapsed="false">
      <c r="A15" s="4" t="s">
        <v>2845</v>
      </c>
      <c r="B15" s="4" t="s">
        <v>2846</v>
      </c>
      <c r="C15" s="4" t="s">
        <v>2706</v>
      </c>
      <c r="D15" s="4" t="s">
        <v>815</v>
      </c>
      <c r="E15" s="4" t="s">
        <v>814</v>
      </c>
      <c r="F15" s="4"/>
      <c r="G15" s="4"/>
      <c r="H15" s="4" t="s">
        <v>56</v>
      </c>
      <c r="I15" s="4" t="s">
        <v>2824</v>
      </c>
    </row>
    <row r="16" customFormat="false" ht="15" hidden="false" customHeight="false" outlineLevel="0" collapsed="false">
      <c r="A16" s="4" t="s">
        <v>2847</v>
      </c>
      <c r="B16" s="4" t="s">
        <v>2848</v>
      </c>
      <c r="C16" s="4" t="s">
        <v>2706</v>
      </c>
      <c r="D16" s="4" t="s">
        <v>815</v>
      </c>
      <c r="E16" s="4" t="s">
        <v>814</v>
      </c>
      <c r="F16" s="4"/>
      <c r="G16" s="4"/>
      <c r="H16" s="4" t="s">
        <v>56</v>
      </c>
      <c r="I16" s="4" t="s">
        <v>2824</v>
      </c>
    </row>
    <row r="17" customFormat="false" ht="15" hidden="false" customHeight="false" outlineLevel="0" collapsed="false">
      <c r="A17" s="4" t="s">
        <v>2849</v>
      </c>
      <c r="B17" s="4" t="s">
        <v>2850</v>
      </c>
      <c r="C17" s="4" t="s">
        <v>2706</v>
      </c>
      <c r="D17" s="4" t="s">
        <v>815</v>
      </c>
      <c r="E17" s="4" t="s">
        <v>848</v>
      </c>
      <c r="F17" s="4"/>
      <c r="G17" s="4"/>
      <c r="H17" s="4" t="s">
        <v>56</v>
      </c>
      <c r="I17" s="4" t="s">
        <v>2824</v>
      </c>
    </row>
    <row r="18" customFormat="false" ht="15" hidden="false" customHeight="false" outlineLevel="0" collapsed="false">
      <c r="A18" s="4" t="s">
        <v>2851</v>
      </c>
      <c r="B18" s="4" t="s">
        <v>2852</v>
      </c>
      <c r="C18" s="4" t="s">
        <v>2706</v>
      </c>
      <c r="D18" s="4" t="s">
        <v>815</v>
      </c>
      <c r="E18" s="4" t="s">
        <v>838</v>
      </c>
      <c r="F18" s="4"/>
      <c r="G18" s="4"/>
      <c r="H18" s="4" t="s">
        <v>56</v>
      </c>
      <c r="I18" s="4" t="s">
        <v>2824</v>
      </c>
    </row>
    <row r="19" customFormat="false" ht="15" hidden="false" customHeight="false" outlineLevel="0" collapsed="false">
      <c r="A19" s="4" t="s">
        <v>2853</v>
      </c>
      <c r="B19" s="4" t="s">
        <v>2854</v>
      </c>
      <c r="C19" s="4" t="s">
        <v>2706</v>
      </c>
      <c r="D19" s="4" t="s">
        <v>900</v>
      </c>
      <c r="E19" s="4" t="s">
        <v>899</v>
      </c>
      <c r="F19" s="4"/>
      <c r="G19" s="4"/>
      <c r="H19" s="4" t="s">
        <v>56</v>
      </c>
      <c r="I19" s="4" t="s">
        <v>2824</v>
      </c>
    </row>
    <row r="20" customFormat="false" ht="15" hidden="false" customHeight="false" outlineLevel="0" collapsed="false">
      <c r="A20" s="4" t="s">
        <v>2855</v>
      </c>
      <c r="B20" s="4" t="s">
        <v>2856</v>
      </c>
      <c r="C20" s="4" t="s">
        <v>2706</v>
      </c>
      <c r="D20" s="4" t="s">
        <v>1023</v>
      </c>
      <c r="E20" s="4" t="s">
        <v>1022</v>
      </c>
      <c r="F20" s="4"/>
      <c r="G20" s="4"/>
      <c r="H20" s="4" t="s">
        <v>56</v>
      </c>
      <c r="I20" s="4" t="s">
        <v>2824</v>
      </c>
    </row>
    <row r="21" customFormat="false" ht="15" hidden="false" customHeight="false" outlineLevel="0" collapsed="false">
      <c r="A21" s="4" t="s">
        <v>2857</v>
      </c>
      <c r="B21" s="4" t="s">
        <v>2858</v>
      </c>
      <c r="C21" s="4" t="s">
        <v>2706</v>
      </c>
      <c r="D21" s="4" t="s">
        <v>1115</v>
      </c>
      <c r="E21" s="4" t="s">
        <v>1114</v>
      </c>
      <c r="F21" s="4"/>
      <c r="G21" s="4"/>
      <c r="H21" s="4" t="s">
        <v>56</v>
      </c>
      <c r="I21" s="4" t="s">
        <v>2824</v>
      </c>
    </row>
    <row r="22" customFormat="false" ht="15" hidden="false" customHeight="false" outlineLevel="0" collapsed="false">
      <c r="A22" s="4" t="s">
        <v>2859</v>
      </c>
      <c r="B22" s="4" t="s">
        <v>2860</v>
      </c>
      <c r="C22" s="4" t="s">
        <v>2706</v>
      </c>
      <c r="D22" s="4" t="s">
        <v>1140</v>
      </c>
      <c r="E22" s="4" t="s">
        <v>1139</v>
      </c>
      <c r="F22" s="4"/>
      <c r="G22" s="4"/>
      <c r="H22" s="4" t="s">
        <v>56</v>
      </c>
      <c r="I22" s="4" t="s">
        <v>2824</v>
      </c>
    </row>
    <row r="23" customFormat="false" ht="15" hidden="false" customHeight="false" outlineLevel="0" collapsed="false">
      <c r="A23" s="4" t="s">
        <v>2861</v>
      </c>
      <c r="B23" s="4" t="s">
        <v>2862</v>
      </c>
      <c r="C23" s="4" t="s">
        <v>2706</v>
      </c>
      <c r="D23" s="4" t="s">
        <v>1167</v>
      </c>
      <c r="E23" s="4" t="s">
        <v>1166</v>
      </c>
      <c r="F23" s="4"/>
      <c r="G23" s="4"/>
      <c r="H23" s="4" t="s">
        <v>56</v>
      </c>
      <c r="I23" s="4" t="s">
        <v>2824</v>
      </c>
    </row>
    <row r="24" customFormat="false" ht="15" hidden="false" customHeight="false" outlineLevel="0" collapsed="false">
      <c r="A24" s="4" t="s">
        <v>2863</v>
      </c>
      <c r="B24" s="4" t="s">
        <v>2864</v>
      </c>
      <c r="C24" s="4" t="s">
        <v>2706</v>
      </c>
      <c r="D24" s="4" t="s">
        <v>1189</v>
      </c>
      <c r="E24" s="4" t="s">
        <v>1188</v>
      </c>
      <c r="F24" s="4"/>
      <c r="G24" s="4"/>
      <c r="H24" s="4" t="s">
        <v>56</v>
      </c>
      <c r="I24" s="4" t="s">
        <v>2824</v>
      </c>
    </row>
    <row r="25" customFormat="false" ht="15" hidden="false" customHeight="false" outlineLevel="0" collapsed="false">
      <c r="A25" s="4" t="s">
        <v>2865</v>
      </c>
      <c r="B25" s="4" t="s">
        <v>2866</v>
      </c>
      <c r="C25" s="4" t="s">
        <v>2706</v>
      </c>
      <c r="D25" s="4" t="s">
        <v>1220</v>
      </c>
      <c r="E25" s="4" t="s">
        <v>1219</v>
      </c>
      <c r="F25" s="4"/>
      <c r="G25" s="4"/>
      <c r="H25" s="4" t="s">
        <v>56</v>
      </c>
      <c r="I25" s="4" t="s">
        <v>2824</v>
      </c>
    </row>
    <row r="26" customFormat="false" ht="15" hidden="false" customHeight="false" outlineLevel="0" collapsed="false">
      <c r="A26" s="4" t="s">
        <v>2867</v>
      </c>
      <c r="B26" s="4" t="s">
        <v>2868</v>
      </c>
      <c r="C26" s="4" t="s">
        <v>2706</v>
      </c>
      <c r="D26" s="4" t="s">
        <v>1286</v>
      </c>
      <c r="E26" s="4" t="s">
        <v>1299</v>
      </c>
      <c r="F26" s="4"/>
      <c r="G26" s="4"/>
      <c r="H26" s="4" t="s">
        <v>56</v>
      </c>
      <c r="I26" s="4" t="s">
        <v>2824</v>
      </c>
    </row>
    <row r="27" customFormat="false" ht="15" hidden="false" customHeight="false" outlineLevel="0" collapsed="false">
      <c r="A27" s="4" t="s">
        <v>2869</v>
      </c>
      <c r="B27" s="4" t="s">
        <v>2870</v>
      </c>
      <c r="C27" s="4" t="s">
        <v>2706</v>
      </c>
      <c r="D27" s="4" t="s">
        <v>1354</v>
      </c>
      <c r="E27" s="4" t="s">
        <v>1353</v>
      </c>
      <c r="F27" s="4"/>
      <c r="G27" s="4"/>
      <c r="H27" s="4" t="s">
        <v>56</v>
      </c>
      <c r="I27" s="4" t="s">
        <v>2824</v>
      </c>
    </row>
    <row r="28" customFormat="false" ht="15" hidden="false" customHeight="false" outlineLevel="0" collapsed="false">
      <c r="A28" s="4" t="s">
        <v>2871</v>
      </c>
      <c r="B28" s="4" t="s">
        <v>2872</v>
      </c>
      <c r="C28" s="4" t="s">
        <v>2706</v>
      </c>
      <c r="D28" s="4" t="s">
        <v>1428</v>
      </c>
      <c r="E28" s="4" t="s">
        <v>1427</v>
      </c>
      <c r="F28" s="4"/>
      <c r="G28" s="4"/>
      <c r="H28" s="4" t="s">
        <v>56</v>
      </c>
      <c r="I28" s="4" t="s">
        <v>2824</v>
      </c>
    </row>
    <row r="29" customFormat="false" ht="15" hidden="false" customHeight="false" outlineLevel="0" collapsed="false">
      <c r="A29" s="4" t="s">
        <v>2873</v>
      </c>
      <c r="B29" s="4" t="s">
        <v>2874</v>
      </c>
      <c r="C29" s="4" t="s">
        <v>2706</v>
      </c>
      <c r="D29" s="4" t="s">
        <v>1451</v>
      </c>
      <c r="E29" s="4" t="s">
        <v>1450</v>
      </c>
      <c r="F29" s="4"/>
      <c r="G29" s="4"/>
      <c r="H29" s="4" t="s">
        <v>56</v>
      </c>
      <c r="I29" s="4" t="s">
        <v>2824</v>
      </c>
    </row>
    <row r="30" customFormat="false" ht="15" hidden="false" customHeight="false" outlineLevel="0" collapsed="false">
      <c r="A30" s="4" t="s">
        <v>2875</v>
      </c>
      <c r="B30" s="4" t="s">
        <v>2876</v>
      </c>
      <c r="C30" s="4" t="s">
        <v>2706</v>
      </c>
      <c r="D30" s="4" t="s">
        <v>1451</v>
      </c>
      <c r="E30" s="4" t="s">
        <v>1450</v>
      </c>
      <c r="F30" s="4"/>
      <c r="G30" s="4"/>
      <c r="H30" s="4" t="s">
        <v>56</v>
      </c>
      <c r="I30" s="4" t="s">
        <v>2824</v>
      </c>
    </row>
    <row r="31" customFormat="false" ht="15" hidden="false" customHeight="false" outlineLevel="0" collapsed="false">
      <c r="A31" s="4" t="s">
        <v>2877</v>
      </c>
      <c r="B31" s="4" t="s">
        <v>2878</v>
      </c>
      <c r="C31" s="4" t="s">
        <v>2706</v>
      </c>
      <c r="D31" s="4" t="s">
        <v>1451</v>
      </c>
      <c r="E31" s="4" t="s">
        <v>1450</v>
      </c>
      <c r="F31" s="4"/>
      <c r="G31" s="4"/>
      <c r="H31" s="4" t="s">
        <v>56</v>
      </c>
      <c r="I31" s="4" t="s">
        <v>2824</v>
      </c>
    </row>
    <row r="32" customFormat="false" ht="15" hidden="false" customHeight="false" outlineLevel="0" collapsed="false">
      <c r="A32" s="4" t="s">
        <v>2879</v>
      </c>
      <c r="B32" s="4" t="s">
        <v>2880</v>
      </c>
      <c r="C32" s="4" t="s">
        <v>2706</v>
      </c>
      <c r="D32" s="4" t="s">
        <v>1552</v>
      </c>
      <c r="E32" s="4" t="s">
        <v>1551</v>
      </c>
      <c r="F32" s="4"/>
      <c r="G32" s="4"/>
      <c r="H32" s="4" t="s">
        <v>56</v>
      </c>
      <c r="I32" s="4" t="s">
        <v>2824</v>
      </c>
    </row>
    <row r="33" customFormat="false" ht="15" hidden="false" customHeight="false" outlineLevel="0" collapsed="false">
      <c r="A33" s="4" t="s">
        <v>2881</v>
      </c>
      <c r="B33" s="4" t="s">
        <v>2882</v>
      </c>
      <c r="C33" s="4" t="s">
        <v>2706</v>
      </c>
      <c r="D33" s="4" t="s">
        <v>1595</v>
      </c>
      <c r="E33" s="4" t="s">
        <v>1594</v>
      </c>
      <c r="F33" s="4"/>
      <c r="G33" s="4"/>
      <c r="H33" s="4" t="s">
        <v>56</v>
      </c>
      <c r="I33" s="4" t="s">
        <v>2824</v>
      </c>
    </row>
    <row r="34" customFormat="false" ht="15" hidden="false" customHeight="false" outlineLevel="0" collapsed="false">
      <c r="A34" s="4" t="s">
        <v>2883</v>
      </c>
      <c r="B34" s="4" t="s">
        <v>2884</v>
      </c>
      <c r="C34" s="4" t="s">
        <v>2706</v>
      </c>
      <c r="D34" s="4" t="s">
        <v>1624</v>
      </c>
      <c r="E34" s="4" t="s">
        <v>1623</v>
      </c>
      <c r="F34" s="4"/>
      <c r="G34" s="4"/>
      <c r="H34" s="4" t="s">
        <v>56</v>
      </c>
      <c r="I34" s="4" t="s">
        <v>2824</v>
      </c>
    </row>
    <row r="35" customFormat="false" ht="15" hidden="false" customHeight="false" outlineLevel="0" collapsed="false">
      <c r="A35" s="4" t="s">
        <v>2885</v>
      </c>
      <c r="B35" s="4" t="s">
        <v>2886</v>
      </c>
      <c r="C35" s="4" t="s">
        <v>2706</v>
      </c>
      <c r="D35" s="4" t="s">
        <v>1713</v>
      </c>
      <c r="E35" s="4" t="s">
        <v>1712</v>
      </c>
      <c r="F35" s="4"/>
      <c r="G35" s="4"/>
      <c r="H35" s="4" t="s">
        <v>56</v>
      </c>
      <c r="I35" s="4" t="s">
        <v>2824</v>
      </c>
    </row>
    <row r="36" customFormat="false" ht="15" hidden="false" customHeight="false" outlineLevel="0" collapsed="false">
      <c r="A36" s="4" t="s">
        <v>2887</v>
      </c>
      <c r="B36" s="4" t="s">
        <v>2888</v>
      </c>
      <c r="C36" s="4" t="s">
        <v>2706</v>
      </c>
      <c r="D36" s="4" t="s">
        <v>1777</v>
      </c>
      <c r="E36" s="4" t="s">
        <v>1777</v>
      </c>
      <c r="F36" s="4"/>
      <c r="G36" s="4"/>
      <c r="H36" s="4" t="s">
        <v>56</v>
      </c>
      <c r="I36" s="4" t="s">
        <v>2824</v>
      </c>
    </row>
    <row r="37" customFormat="false" ht="15" hidden="false" customHeight="false" outlineLevel="0" collapsed="false">
      <c r="A37" s="4" t="s">
        <v>2889</v>
      </c>
      <c r="B37" s="4" t="s">
        <v>2890</v>
      </c>
      <c r="C37" s="4" t="s">
        <v>2706</v>
      </c>
      <c r="D37" s="4" t="s">
        <v>1799</v>
      </c>
      <c r="E37" s="4" t="s">
        <v>1799</v>
      </c>
      <c r="F37" s="4"/>
      <c r="G37" s="4"/>
      <c r="H37" s="4" t="s">
        <v>56</v>
      </c>
      <c r="I37" s="4" t="s">
        <v>2824</v>
      </c>
    </row>
    <row r="38" customFormat="false" ht="15" hidden="false" customHeight="false" outlineLevel="0" collapsed="false">
      <c r="A38" s="4" t="s">
        <v>2891</v>
      </c>
      <c r="B38" s="4" t="s">
        <v>2892</v>
      </c>
      <c r="C38" s="4" t="s">
        <v>2706</v>
      </c>
      <c r="D38" s="4" t="s">
        <v>1823</v>
      </c>
      <c r="E38" s="4" t="s">
        <v>1822</v>
      </c>
      <c r="F38" s="4"/>
      <c r="G38" s="4"/>
      <c r="H38" s="4" t="s">
        <v>56</v>
      </c>
      <c r="I38" s="4" t="s">
        <v>2824</v>
      </c>
    </row>
    <row r="39" customFormat="false" ht="15" hidden="false" customHeight="false" outlineLevel="0" collapsed="false">
      <c r="A39" s="4" t="s">
        <v>2893</v>
      </c>
      <c r="B39" s="4" t="s">
        <v>2894</v>
      </c>
      <c r="C39" s="4" t="s">
        <v>2706</v>
      </c>
      <c r="D39" s="4" t="s">
        <v>1876</v>
      </c>
      <c r="E39" s="4" t="s">
        <v>1876</v>
      </c>
      <c r="F39" s="4"/>
      <c r="G39" s="4"/>
      <c r="H39" s="4" t="s">
        <v>56</v>
      </c>
      <c r="I39" s="4" t="s">
        <v>2824</v>
      </c>
    </row>
  </sheetData>
  <dataValidations count="1">
    <dataValidation allowBlank="true" errorStyle="stop" operator="between" showDropDown="false" showErrorMessage="false" showInputMessage="false" sqref="H2:H1039" type="list">
      <formula1>"Verified,Partially Verified,Needs Verification"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30" hidden="false" customHeight="true" outlineLevel="0" collapsed="false">
      <c r="A1" s="3" t="s">
        <v>2895</v>
      </c>
      <c r="B1" s="3" t="s">
        <v>26</v>
      </c>
      <c r="C1" s="3" t="s">
        <v>25</v>
      </c>
      <c r="D1" s="3" t="s">
        <v>2896</v>
      </c>
      <c r="E1" s="3" t="s">
        <v>2897</v>
      </c>
      <c r="F1" s="3" t="s">
        <v>2898</v>
      </c>
      <c r="G1" s="3" t="s">
        <v>2899</v>
      </c>
    </row>
    <row r="2" customFormat="false" ht="15" hidden="false" customHeight="false" outlineLevel="0" collapsed="false">
      <c r="A2" s="4" t="s">
        <v>2900</v>
      </c>
      <c r="B2" s="4" t="s">
        <v>70</v>
      </c>
      <c r="C2" s="4" t="s">
        <v>69</v>
      </c>
      <c r="D2" s="4" t="s">
        <v>2901</v>
      </c>
      <c r="E2" s="4" t="s">
        <v>2902</v>
      </c>
      <c r="F2" s="6" t="n">
        <v>46297</v>
      </c>
      <c r="G2" s="4" t="s">
        <v>2903</v>
      </c>
    </row>
    <row r="3" customFormat="false" ht="15" hidden="false" customHeight="false" outlineLevel="0" collapsed="false">
      <c r="A3" s="4" t="s">
        <v>2904</v>
      </c>
      <c r="B3" s="4" t="s">
        <v>76</v>
      </c>
      <c r="C3" s="4" t="s">
        <v>75</v>
      </c>
      <c r="D3" s="4" t="s">
        <v>2901</v>
      </c>
      <c r="E3" s="4" t="s">
        <v>2905</v>
      </c>
      <c r="F3" s="6" t="n">
        <v>46297</v>
      </c>
      <c r="G3" s="4" t="s">
        <v>2903</v>
      </c>
    </row>
    <row r="4" customFormat="false" ht="15" hidden="false" customHeight="false" outlineLevel="0" collapsed="false">
      <c r="A4" s="4" t="s">
        <v>2906</v>
      </c>
      <c r="B4" s="4" t="s">
        <v>64</v>
      </c>
      <c r="C4" s="4" t="s">
        <v>63</v>
      </c>
      <c r="D4" s="4" t="s">
        <v>2901</v>
      </c>
      <c r="E4" s="4" t="s">
        <v>2907</v>
      </c>
      <c r="F4" s="6" t="n">
        <v>46297</v>
      </c>
      <c r="G4" s="4" t="s">
        <v>2903</v>
      </c>
    </row>
    <row r="5" customFormat="false" ht="15" hidden="false" customHeight="false" outlineLevel="0" collapsed="false">
      <c r="A5" s="4" t="s">
        <v>2908</v>
      </c>
      <c r="B5" s="4" t="s">
        <v>2708</v>
      </c>
      <c r="C5" s="4" t="s">
        <v>2707</v>
      </c>
      <c r="D5" s="4" t="s">
        <v>2909</v>
      </c>
      <c r="E5" s="4" t="s">
        <v>2910</v>
      </c>
      <c r="F5" s="6" t="n">
        <v>46297</v>
      </c>
      <c r="G5" s="4" t="s">
        <v>2903</v>
      </c>
    </row>
    <row r="6" customFormat="false" ht="15" hidden="false" customHeight="false" outlineLevel="0" collapsed="false">
      <c r="A6" s="4" t="s">
        <v>2911</v>
      </c>
      <c r="B6" s="4" t="s">
        <v>108</v>
      </c>
      <c r="C6" s="4" t="s">
        <v>107</v>
      </c>
      <c r="D6" s="4" t="s">
        <v>2909</v>
      </c>
      <c r="E6" s="4" t="s">
        <v>2912</v>
      </c>
      <c r="F6" s="6" t="n">
        <v>46297</v>
      </c>
      <c r="G6" s="4" t="s">
        <v>2903</v>
      </c>
    </row>
    <row r="7" customFormat="false" ht="15" hidden="false" customHeight="false" outlineLevel="0" collapsed="false">
      <c r="A7" s="4" t="s">
        <v>2913</v>
      </c>
      <c r="B7" s="4" t="s">
        <v>2723</v>
      </c>
      <c r="C7" s="4" t="s">
        <v>2722</v>
      </c>
      <c r="D7" s="4" t="s">
        <v>2909</v>
      </c>
      <c r="E7" s="4" t="s">
        <v>2914</v>
      </c>
      <c r="F7" s="6" t="n">
        <v>46297</v>
      </c>
      <c r="G7" s="4" t="s">
        <v>2903</v>
      </c>
    </row>
    <row r="8" customFormat="false" ht="15" hidden="false" customHeight="false" outlineLevel="0" collapsed="false">
      <c r="A8" s="4" t="s">
        <v>2915</v>
      </c>
      <c r="B8" s="4" t="s">
        <v>2733</v>
      </c>
      <c r="C8" s="4" t="s">
        <v>2732</v>
      </c>
      <c r="D8" s="4" t="s">
        <v>2909</v>
      </c>
      <c r="E8" s="4" t="s">
        <v>2916</v>
      </c>
      <c r="F8" s="6" t="n">
        <v>46297</v>
      </c>
      <c r="G8" s="4" t="s">
        <v>2903</v>
      </c>
    </row>
    <row r="9" customFormat="false" ht="15" hidden="false" customHeight="false" outlineLevel="0" collapsed="false">
      <c r="A9" s="4" t="s">
        <v>2917</v>
      </c>
      <c r="B9" s="4" t="s">
        <v>2918</v>
      </c>
      <c r="C9" s="4" t="s">
        <v>2819</v>
      </c>
      <c r="D9" s="4" t="s">
        <v>2919</v>
      </c>
      <c r="E9" s="4" t="s">
        <v>2920</v>
      </c>
      <c r="F9" s="6" t="n">
        <v>46297</v>
      </c>
      <c r="G9" s="4" t="s">
        <v>2903</v>
      </c>
    </row>
    <row r="10" customFormat="false" ht="15" hidden="false" customHeight="false" outlineLevel="0" collapsed="false">
      <c r="A10" s="4" t="s">
        <v>2921</v>
      </c>
      <c r="B10" s="4" t="s">
        <v>419</v>
      </c>
      <c r="C10" s="4" t="s">
        <v>418</v>
      </c>
      <c r="D10" s="4" t="s">
        <v>2919</v>
      </c>
      <c r="E10" s="4" t="s">
        <v>2922</v>
      </c>
      <c r="F10" s="6" t="n">
        <v>46297</v>
      </c>
      <c r="G10" s="4" t="s">
        <v>2903</v>
      </c>
    </row>
    <row r="11" customFormat="false" ht="15" hidden="false" customHeight="false" outlineLevel="0" collapsed="false">
      <c r="A11" s="4" t="s">
        <v>2923</v>
      </c>
      <c r="B11" s="4" t="s">
        <v>1807</v>
      </c>
      <c r="C11" s="4" t="s">
        <v>1806</v>
      </c>
      <c r="D11" s="4" t="s">
        <v>2924</v>
      </c>
      <c r="E11" s="4" t="s">
        <v>2925</v>
      </c>
      <c r="F11" s="6" t="n">
        <v>46297</v>
      </c>
      <c r="G11" s="4" t="s">
        <v>2903</v>
      </c>
    </row>
    <row r="12" customFormat="false" ht="15" hidden="false" customHeight="false" outlineLevel="0" collapsed="false">
      <c r="A12" s="4" t="s">
        <v>2926</v>
      </c>
      <c r="B12" s="4" t="s">
        <v>2927</v>
      </c>
      <c r="C12" s="4" t="s">
        <v>2788</v>
      </c>
      <c r="D12" s="4" t="s">
        <v>2924</v>
      </c>
      <c r="E12" s="4" t="s">
        <v>2928</v>
      </c>
      <c r="F12" s="6" t="n">
        <v>46297</v>
      </c>
      <c r="G12" s="4" t="s">
        <v>2903</v>
      </c>
    </row>
    <row r="13" customFormat="false" ht="15" hidden="false" customHeight="false" outlineLevel="0" collapsed="false">
      <c r="A13" s="4" t="s">
        <v>2929</v>
      </c>
      <c r="B13" s="4" t="s">
        <v>2930</v>
      </c>
      <c r="C13" s="4" t="s">
        <v>2931</v>
      </c>
      <c r="D13" s="4" t="s">
        <v>2924</v>
      </c>
      <c r="E13" s="4" t="s">
        <v>2932</v>
      </c>
      <c r="F13" s="6" t="n">
        <v>46297</v>
      </c>
      <c r="G13" s="4" t="s">
        <v>2903</v>
      </c>
    </row>
    <row r="14" customFormat="false" ht="15" hidden="false" customHeight="false" outlineLevel="0" collapsed="false">
      <c r="A14" s="4" t="s">
        <v>2933</v>
      </c>
      <c r="B14" s="4" t="s">
        <v>96</v>
      </c>
      <c r="C14" s="4" t="s">
        <v>95</v>
      </c>
      <c r="D14" s="4" t="s">
        <v>2934</v>
      </c>
      <c r="E14" s="4" t="s">
        <v>2935</v>
      </c>
      <c r="F14" s="6" t="n">
        <v>46297</v>
      </c>
      <c r="G14" s="4" t="s">
        <v>2903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10" min="9" style="0" width="12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3" t="s">
        <v>2936</v>
      </c>
      <c r="B1" s="3" t="s">
        <v>2937</v>
      </c>
      <c r="C1" s="3" t="s">
        <v>2938</v>
      </c>
      <c r="D1" s="3" t="s">
        <v>2939</v>
      </c>
      <c r="E1" s="3" t="s">
        <v>2940</v>
      </c>
      <c r="F1" s="3" t="s">
        <v>2941</v>
      </c>
      <c r="G1" s="3" t="s">
        <v>2942</v>
      </c>
      <c r="H1" s="3" t="s">
        <v>2943</v>
      </c>
      <c r="I1" s="3" t="s">
        <v>2944</v>
      </c>
      <c r="J1" s="3" t="s">
        <v>2945</v>
      </c>
      <c r="K1" s="3" t="s">
        <v>2946</v>
      </c>
    </row>
    <row r="2" customFormat="false" ht="15" hidden="false" customHeight="false" outlineLevel="0" collapsed="false">
      <c r="A2" s="4" t="s">
        <v>34</v>
      </c>
      <c r="B2" s="4" t="n">
        <f aca="false">COUNTIFS(Cities!$D$2:$D$380,$A2,Cities!$H$2:$H$380,"Y")+COUNTIFS(Cities!$E$2:$E$380,$A2,Cities!$H$2:$H$380,"Y")</f>
        <v>6</v>
      </c>
      <c r="C2" s="4" t="n">
        <f aca="false">COUNTIF(Bus_Terminals!$F$2:$F$420,$A2)+COUNTIF(Bus_Terminals!$G$2:$G$420,$A2)</f>
        <v>45</v>
      </c>
      <c r="D2" s="4" t="n">
        <f aca="false">COUNTIFS(Bus_Terminals!$F$2:$F$420,$A2,Bus_Terminals!$M$2:$M$420,"Y")+COUNTIFS(Bus_Terminals!$G$2:$G$420,$A2,Bus_Terminals!$M$2:$M$420,"Y")</f>
        <v>9</v>
      </c>
      <c r="E2" s="4" t="n">
        <f aca="false">COUNTIF(Bus_Routes!$E$2:$E$18,$A2)</f>
        <v>17</v>
      </c>
      <c r="F2" s="4" t="n">
        <f aca="false">COUNTIF(Interstate_Routes!$B$2:$B$10,$A2)</f>
        <v>2</v>
      </c>
      <c r="G2" s="4" t="n">
        <f aca="false">COUNTIF(Bus_Operators!$D$2:$D$39,$A2)</f>
        <v>3</v>
      </c>
      <c r="H2" s="4" t="str">
        <f aca="false">IF(C2=0,"No terminal records",IF(COUNTIFS(Bus_Terminals!$F$2:$F$420,$A2,Bus_Terminals!$U$2:$U$420,"Partially Verified")+COUNTIFS(Bus_Terminals!$G$2:$G$420,$A2,Bus_Terminals!$U$2:$U$420,"Partially Verified")&gt;0,"Partial - some records sourced","Candidate only - needs verification"))</f>
        <v>Partial - some records sourced</v>
      </c>
      <c r="I2" s="4" t="n">
        <f aca="false">COUNTIFS(Bus_Terminals!$F$2:$F$420,$A2,Bus_Terminals!$S$2:$S$420,"&lt;&gt;")+COUNTIFS(Bus_Terminals!$G$2:$G$420,$A2,Bus_Terminals!$S$2:$S$420,"&lt;&gt;")</f>
        <v>9</v>
      </c>
      <c r="J2" s="6" t="n">
        <v>46297</v>
      </c>
      <c r="K2" s="4" t="s">
        <v>12</v>
      </c>
    </row>
    <row r="3" customFormat="false" ht="15" hidden="false" customHeight="false" outlineLevel="0" collapsed="false">
      <c r="A3" s="4" t="s">
        <v>261</v>
      </c>
      <c r="B3" s="4" t="n">
        <f aca="false">COUNTIFS(Cities!$D$2:$D$380,$A3,Cities!$H$2:$H$380,"Y")+COUNTIFS(Cities!$E$2:$E$380,$A3,Cities!$H$2:$H$380,"Y")</f>
        <v>4</v>
      </c>
      <c r="C3" s="4" t="n">
        <f aca="false">COUNTIF(Bus_Terminals!$F$2:$F$420,$A3)+COUNTIF(Bus_Terminals!$G$2:$G$420,$A3)</f>
        <v>14</v>
      </c>
      <c r="D3" s="4" t="n">
        <f aca="false">COUNTIFS(Bus_Terminals!$F$2:$F$420,$A3,Bus_Terminals!$M$2:$M$420,"Y")+COUNTIFS(Bus_Terminals!$G$2:$G$420,$A3,Bus_Terminals!$M$2:$M$420,"Y")</f>
        <v>4</v>
      </c>
      <c r="E3" s="4" t="n">
        <f aca="false">COUNTIF(Bus_Routes!$E$2:$E$18,$A3)</f>
        <v>0</v>
      </c>
      <c r="F3" s="4" t="n">
        <f aca="false">COUNTIF(Interstate_Routes!$B$2:$B$10,$A3)</f>
        <v>0</v>
      </c>
      <c r="G3" s="4" t="n">
        <f aca="false">COUNTIF(Bus_Operators!$D$2:$D$39,$A3)</f>
        <v>1</v>
      </c>
      <c r="H3" s="4" t="str">
        <f aca="false">IF(C3=0,"No terminal records",IF(COUNTIFS(Bus_Terminals!$F$2:$F$420,$A3,Bus_Terminals!$U$2:$U$420,"Partially Verified")+COUNTIFS(Bus_Terminals!$G$2:$G$420,$A3,Bus_Terminals!$U$2:$U$420,"Partially Verified")&gt;0,"Partial - some records sourced","Candidate only - needs verification"))</f>
        <v>Candidate only - needs verification</v>
      </c>
      <c r="I3" s="4" t="n">
        <f aca="false">COUNTIFS(Bus_Terminals!$F$2:$F$420,$A3,Bus_Terminals!$S$2:$S$420,"&lt;&gt;")+COUNTIFS(Bus_Terminals!$G$2:$G$420,$A3,Bus_Terminals!$S$2:$S$420,"&lt;&gt;")</f>
        <v>0</v>
      </c>
      <c r="J3" s="6" t="n">
        <v>46297</v>
      </c>
      <c r="K3" s="4" t="s">
        <v>12</v>
      </c>
    </row>
    <row r="4" customFormat="false" ht="15" hidden="false" customHeight="false" outlineLevel="0" collapsed="false">
      <c r="A4" s="4" t="s">
        <v>322</v>
      </c>
      <c r="B4" s="4" t="n">
        <f aca="false">COUNTIFS(Cities!$D$2:$D$380,$A4,Cities!$H$2:$H$380,"Y")+COUNTIFS(Cities!$E$2:$E$380,$A4,Cities!$H$2:$H$380,"Y")</f>
        <v>1</v>
      </c>
      <c r="C4" s="4" t="n">
        <f aca="false">COUNTIF(Bus_Terminals!$F$2:$F$420,$A4)+COUNTIF(Bus_Terminals!$G$2:$G$420,$A4)</f>
        <v>8</v>
      </c>
      <c r="D4" s="4" t="n">
        <f aca="false">COUNTIFS(Bus_Terminals!$F$2:$F$420,$A4,Bus_Terminals!$M$2:$M$420,"Y")+COUNTIFS(Bus_Terminals!$G$2:$G$420,$A4,Bus_Terminals!$M$2:$M$420,"Y")</f>
        <v>1</v>
      </c>
      <c r="E4" s="4" t="n">
        <f aca="false">COUNTIF(Bus_Routes!$E$2:$E$18,$A4)</f>
        <v>0</v>
      </c>
      <c r="F4" s="4" t="n">
        <f aca="false">COUNTIF(Interstate_Routes!$B$2:$B$10,$A4)</f>
        <v>0</v>
      </c>
      <c r="G4" s="4" t="n">
        <f aca="false">COUNTIF(Bus_Operators!$D$2:$D$39,$A4)</f>
        <v>1</v>
      </c>
      <c r="H4" s="4" t="str">
        <f aca="false">IF(C4=0,"No terminal records",IF(COUNTIFS(Bus_Terminals!$F$2:$F$420,$A4,Bus_Terminals!$U$2:$U$420,"Partially Verified")+COUNTIFS(Bus_Terminals!$G$2:$G$420,$A4,Bus_Terminals!$U$2:$U$420,"Partially Verified")&gt;0,"Partial - some records sourced","Candidate only - needs verification"))</f>
        <v>Candidate only - needs verification</v>
      </c>
      <c r="I4" s="4" t="n">
        <f aca="false">COUNTIFS(Bus_Terminals!$F$2:$F$420,$A4,Bus_Terminals!$S$2:$S$420,"&lt;&gt;")+COUNTIFS(Bus_Terminals!$G$2:$G$420,$A4,Bus_Terminals!$S$2:$S$420,"&lt;&gt;")</f>
        <v>0</v>
      </c>
      <c r="J4" s="6" t="n">
        <v>46297</v>
      </c>
      <c r="K4" s="4" t="s">
        <v>12</v>
      </c>
    </row>
    <row r="5" customFormat="false" ht="15" hidden="false" customHeight="false" outlineLevel="0" collapsed="false">
      <c r="A5" s="4" t="s">
        <v>356</v>
      </c>
      <c r="B5" s="4" t="n">
        <f aca="false">COUNTIFS(Cities!$D$2:$D$380,$A5,Cities!$H$2:$H$380,"Y")+COUNTIFS(Cities!$E$2:$E$380,$A5,Cities!$H$2:$H$380,"Y")</f>
        <v>1</v>
      </c>
      <c r="C5" s="4" t="n">
        <f aca="false">COUNTIF(Bus_Terminals!$F$2:$F$420,$A5)+COUNTIF(Bus_Terminals!$G$2:$G$420,$A5)</f>
        <v>14</v>
      </c>
      <c r="D5" s="4" t="n">
        <f aca="false">COUNTIFS(Bus_Terminals!$F$2:$F$420,$A5,Bus_Terminals!$M$2:$M$420,"Y")+COUNTIFS(Bus_Terminals!$G$2:$G$420,$A5,Bus_Terminals!$M$2:$M$420,"Y")</f>
        <v>2</v>
      </c>
      <c r="E5" s="4" t="n">
        <f aca="false">COUNTIF(Bus_Routes!$E$2:$E$18,$A5)</f>
        <v>0</v>
      </c>
      <c r="F5" s="4" t="n">
        <f aca="false">COUNTIF(Interstate_Routes!$B$2:$B$10,$A5)</f>
        <v>0</v>
      </c>
      <c r="G5" s="4" t="n">
        <f aca="false">COUNTIF(Bus_Operators!$D$2:$D$39,$A5)</f>
        <v>1</v>
      </c>
      <c r="H5" s="4" t="str">
        <f aca="false">IF(C5=0,"No terminal records",IF(COUNTIFS(Bus_Terminals!$F$2:$F$420,$A5,Bus_Terminals!$U$2:$U$420,"Partially Verified")+COUNTIFS(Bus_Terminals!$G$2:$G$420,$A5,Bus_Terminals!$U$2:$U$420,"Partially Verified")&gt;0,"Partial - some records sourced","Candidate only - needs verification"))</f>
        <v>Candidate only - needs verification</v>
      </c>
      <c r="I5" s="4" t="n">
        <f aca="false">COUNTIFS(Bus_Terminals!$F$2:$F$420,$A5,Bus_Terminals!$S$2:$S$420,"&lt;&gt;")+COUNTIFS(Bus_Terminals!$G$2:$G$420,$A5,Bus_Terminals!$S$2:$S$420,"&lt;&gt;")</f>
        <v>0</v>
      </c>
      <c r="J5" s="6" t="n">
        <v>46297</v>
      </c>
      <c r="K5" s="4" t="s">
        <v>12</v>
      </c>
    </row>
    <row r="6" customFormat="false" ht="15" hidden="false" customHeight="false" outlineLevel="0" collapsed="false">
      <c r="A6" s="4" t="s">
        <v>414</v>
      </c>
      <c r="B6" s="4" t="n">
        <f aca="false">COUNTIFS(Cities!$D$2:$D$380,$A6,Cities!$H$2:$H$380,"Y")+COUNTIFS(Cities!$E$2:$E$380,$A6,Cities!$H$2:$H$380,"Y")</f>
        <v>1</v>
      </c>
      <c r="C6" s="4" t="n">
        <f aca="false">COUNTIF(Bus_Terminals!$F$2:$F$420,$A6)+COUNTIF(Bus_Terminals!$G$2:$G$420,$A6)</f>
        <v>19</v>
      </c>
      <c r="D6" s="4" t="n">
        <f aca="false">COUNTIFS(Bus_Terminals!$F$2:$F$420,$A6,Bus_Terminals!$M$2:$M$420,"Y")+COUNTIFS(Bus_Terminals!$G$2:$G$420,$A6,Bus_Terminals!$M$2:$M$420,"Y")</f>
        <v>5</v>
      </c>
      <c r="E6" s="4" t="n">
        <f aca="false">COUNTIF(Bus_Routes!$E$2:$E$18,$A6)</f>
        <v>0</v>
      </c>
      <c r="F6" s="4" t="n">
        <f aca="false">COUNTIF(Interstate_Routes!$B$2:$B$10,$A6)</f>
        <v>7</v>
      </c>
      <c r="G6" s="4" t="n">
        <f aca="false">COUNTIF(Bus_Operators!$D$2:$D$39,$A6)</f>
        <v>1</v>
      </c>
      <c r="H6" s="4" t="str">
        <f aca="false">IF(C6=0,"No terminal records",IF(COUNTIFS(Bus_Terminals!$F$2:$F$420,$A6,Bus_Terminals!$U$2:$U$420,"Partially Verified")+COUNTIFS(Bus_Terminals!$G$2:$G$420,$A6,Bus_Terminals!$U$2:$U$420,"Partially Verified")&gt;0,"Partial - some records sourced","Candidate only - needs verification"))</f>
        <v>Partial - some records sourced</v>
      </c>
      <c r="I6" s="4" t="n">
        <f aca="false">COUNTIFS(Bus_Terminals!$F$2:$F$420,$A6,Bus_Terminals!$S$2:$S$420,"&lt;&gt;")+COUNTIFS(Bus_Terminals!$G$2:$G$420,$A6,Bus_Terminals!$S$2:$S$420,"&lt;&gt;")</f>
        <v>1</v>
      </c>
      <c r="J6" s="6" t="n">
        <v>46297</v>
      </c>
      <c r="K6" s="4" t="s">
        <v>12</v>
      </c>
    </row>
    <row r="7" customFormat="false" ht="15" hidden="false" customHeight="false" outlineLevel="0" collapsed="false">
      <c r="A7" s="4" t="s">
        <v>496</v>
      </c>
      <c r="B7" s="4" t="n">
        <f aca="false">COUNTIFS(Cities!$D$2:$D$380,$A7,Cities!$H$2:$H$380,"Y")+COUNTIFS(Cities!$E$2:$E$380,$A7,Cities!$H$2:$H$380,"Y")</f>
        <v>2</v>
      </c>
      <c r="C7" s="4" t="n">
        <f aca="false">COUNTIF(Bus_Terminals!$F$2:$F$420,$A7)+COUNTIF(Bus_Terminals!$G$2:$G$420,$A7)</f>
        <v>10</v>
      </c>
      <c r="D7" s="4" t="n">
        <f aca="false">COUNTIFS(Bus_Terminals!$F$2:$F$420,$A7,Bus_Terminals!$M$2:$M$420,"Y")+COUNTIFS(Bus_Terminals!$G$2:$G$420,$A7,Bus_Terminals!$M$2:$M$420,"Y")</f>
        <v>2</v>
      </c>
      <c r="E7" s="4" t="n">
        <f aca="false">COUNTIF(Bus_Routes!$E$2:$E$18,$A7)</f>
        <v>0</v>
      </c>
      <c r="F7" s="4" t="n">
        <f aca="false">COUNTIF(Interstate_Routes!$B$2:$B$10,$A7)</f>
        <v>0</v>
      </c>
      <c r="G7" s="4" t="n">
        <f aca="false">COUNTIF(Bus_Operators!$D$2:$D$39,$A7)</f>
        <v>1</v>
      </c>
      <c r="H7" s="4" t="str">
        <f aca="false">IF(C7=0,"No terminal records",IF(COUNTIFS(Bus_Terminals!$F$2:$F$420,$A7,Bus_Terminals!$U$2:$U$420,"Partially Verified")+COUNTIFS(Bus_Terminals!$G$2:$G$420,$A7,Bus_Terminals!$U$2:$U$420,"Partially Verified")&gt;0,"Partial - some records sourced","Candidate only - needs verification"))</f>
        <v>Candidate only - needs verification</v>
      </c>
      <c r="I7" s="4" t="n">
        <f aca="false">COUNTIFS(Bus_Terminals!$F$2:$F$420,$A7,Bus_Terminals!$S$2:$S$420,"&lt;&gt;")+COUNTIFS(Bus_Terminals!$G$2:$G$420,$A7,Bus_Terminals!$S$2:$S$420,"&lt;&gt;")</f>
        <v>0</v>
      </c>
      <c r="J7" s="6" t="n">
        <v>46297</v>
      </c>
      <c r="K7" s="4" t="s">
        <v>12</v>
      </c>
    </row>
    <row r="8" customFormat="false" ht="15" hidden="false" customHeight="false" outlineLevel="0" collapsed="false">
      <c r="A8" s="4" t="s">
        <v>538</v>
      </c>
      <c r="B8" s="4" t="n">
        <f aca="false">COUNTIFS(Cities!$D$2:$D$380,$A8,Cities!$H$2:$H$380,"Y")+COUNTIFS(Cities!$E$2:$E$380,$A8,Cities!$H$2:$H$380,"Y")</f>
        <v>1</v>
      </c>
      <c r="C8" s="4" t="n">
        <f aca="false">COUNTIF(Bus_Terminals!$F$2:$F$420,$A8)+COUNTIF(Bus_Terminals!$G$2:$G$420,$A8)</f>
        <v>7</v>
      </c>
      <c r="D8" s="4" t="n">
        <f aca="false">COUNTIFS(Bus_Terminals!$F$2:$F$420,$A8,Bus_Terminals!$M$2:$M$420,"Y")+COUNTIFS(Bus_Terminals!$G$2:$G$420,$A8,Bus_Terminals!$M$2:$M$420,"Y")</f>
        <v>3</v>
      </c>
      <c r="E8" s="4" t="n">
        <f aca="false">COUNTIF(Bus_Routes!$E$2:$E$18,$A8)</f>
        <v>0</v>
      </c>
      <c r="F8" s="4" t="n">
        <f aca="false">COUNTIF(Interstate_Routes!$B$2:$B$10,$A8)</f>
        <v>0</v>
      </c>
      <c r="G8" s="4" t="n">
        <f aca="false">COUNTIF(Bus_Operators!$D$2:$D$39,$A8)</f>
        <v>1</v>
      </c>
      <c r="H8" s="4" t="str">
        <f aca="false">IF(C8=0,"No terminal records",IF(COUNTIFS(Bus_Terminals!$F$2:$F$420,$A8,Bus_Terminals!$U$2:$U$420,"Partially Verified")+COUNTIFS(Bus_Terminals!$G$2:$G$420,$A8,Bus_Terminals!$U$2:$U$420,"Partially Verified")&gt;0,"Partial - some records sourced","Candidate only - needs verification"))</f>
        <v>Candidate only - needs verification</v>
      </c>
      <c r="I8" s="4" t="n">
        <f aca="false">COUNTIFS(Bus_Terminals!$F$2:$F$420,$A8,Bus_Terminals!$S$2:$S$420,"&lt;&gt;")+COUNTIFS(Bus_Terminals!$G$2:$G$420,$A8,Bus_Terminals!$S$2:$S$420,"&lt;&gt;")</f>
        <v>0</v>
      </c>
      <c r="J8" s="6" t="n">
        <v>46297</v>
      </c>
      <c r="K8" s="4" t="s">
        <v>12</v>
      </c>
    </row>
    <row r="9" customFormat="false" ht="15" hidden="false" customHeight="false" outlineLevel="0" collapsed="false">
      <c r="A9" s="4" t="s">
        <v>572</v>
      </c>
      <c r="B9" s="4" t="n">
        <f aca="false">COUNTIFS(Cities!$D$2:$D$380,$A9,Cities!$H$2:$H$380,"Y")+COUNTIFS(Cities!$E$2:$E$380,$A9,Cities!$H$2:$H$380,"Y")</f>
        <v>5</v>
      </c>
      <c r="C9" s="4" t="n">
        <f aca="false">COUNTIF(Bus_Terminals!$F$2:$F$420,$A9)+COUNTIF(Bus_Terminals!$G$2:$G$420,$A9)</f>
        <v>16</v>
      </c>
      <c r="D9" s="4" t="n">
        <f aca="false">COUNTIFS(Bus_Terminals!$F$2:$F$420,$A9,Bus_Terminals!$M$2:$M$420,"Y")+COUNTIFS(Bus_Terminals!$G$2:$G$420,$A9,Bus_Terminals!$M$2:$M$420,"Y")</f>
        <v>4</v>
      </c>
      <c r="E9" s="4" t="n">
        <f aca="false">COUNTIF(Bus_Routes!$E$2:$E$18,$A9)</f>
        <v>0</v>
      </c>
      <c r="F9" s="4" t="n">
        <f aca="false">COUNTIF(Interstate_Routes!$B$2:$B$10,$A9)</f>
        <v>0</v>
      </c>
      <c r="G9" s="4" t="n">
        <f aca="false">COUNTIF(Bus_Operators!$D$2:$D$39,$A9)</f>
        <v>1</v>
      </c>
      <c r="H9" s="4" t="str">
        <f aca="false">IF(C9=0,"No terminal records",IF(COUNTIFS(Bus_Terminals!$F$2:$F$420,$A9,Bus_Terminals!$U$2:$U$420,"Partially Verified")+COUNTIFS(Bus_Terminals!$G$2:$G$420,$A9,Bus_Terminals!$U$2:$U$420,"Partially Verified")&gt;0,"Partial - some records sourced","Candidate only - needs verification"))</f>
        <v>Candidate only - needs verification</v>
      </c>
      <c r="I9" s="4" t="n">
        <f aca="false">COUNTIFS(Bus_Terminals!$F$2:$F$420,$A9,Bus_Terminals!$S$2:$S$420,"&lt;&gt;")+COUNTIFS(Bus_Terminals!$G$2:$G$420,$A9,Bus_Terminals!$S$2:$S$420,"&lt;&gt;")</f>
        <v>0</v>
      </c>
      <c r="J9" s="6" t="n">
        <v>46297</v>
      </c>
      <c r="K9" s="4" t="s">
        <v>12</v>
      </c>
    </row>
    <row r="10" customFormat="false" ht="15" hidden="false" customHeight="false" outlineLevel="0" collapsed="false">
      <c r="A10" s="4" t="s">
        <v>642</v>
      </c>
      <c r="B10" s="4" t="n">
        <f aca="false">COUNTIFS(Cities!$D$2:$D$380,$A10,Cities!$H$2:$H$380,"Y")+COUNTIFS(Cities!$E$2:$E$380,$A10,Cities!$H$2:$H$380,"Y")</f>
        <v>6</v>
      </c>
      <c r="C10" s="4" t="n">
        <f aca="false">COUNTIF(Bus_Terminals!$F$2:$F$420,$A10)+COUNTIF(Bus_Terminals!$G$2:$G$420,$A10)</f>
        <v>16</v>
      </c>
      <c r="D10" s="4" t="n">
        <f aca="false">COUNTIFS(Bus_Terminals!$F$2:$F$420,$A10,Bus_Terminals!$M$2:$M$420,"Y")+COUNTIFS(Bus_Terminals!$G$2:$G$420,$A10,Bus_Terminals!$M$2:$M$420,"Y")</f>
        <v>3</v>
      </c>
      <c r="E10" s="4" t="n">
        <f aca="false">COUNTIF(Bus_Routes!$E$2:$E$18,$A10)</f>
        <v>0</v>
      </c>
      <c r="F10" s="4" t="n">
        <f aca="false">COUNTIF(Interstate_Routes!$B$2:$B$10,$A10)</f>
        <v>0</v>
      </c>
      <c r="G10" s="4" t="n">
        <f aca="false">COUNTIF(Bus_Operators!$D$2:$D$39,$A10)</f>
        <v>1</v>
      </c>
      <c r="H10" s="4" t="str">
        <f aca="false">IF(C10=0,"No terminal records",IF(COUNTIFS(Bus_Terminals!$F$2:$F$420,$A10,Bus_Terminals!$U$2:$U$420,"Partially Verified")+COUNTIFS(Bus_Terminals!$G$2:$G$420,$A10,Bus_Terminals!$U$2:$U$420,"Partially Verified")&gt;0,"Partial - some records sourced","Candidate only - needs verification"))</f>
        <v>Candidate only - needs verification</v>
      </c>
      <c r="I10" s="4" t="n">
        <f aca="false">COUNTIFS(Bus_Terminals!$F$2:$F$420,$A10,Bus_Terminals!$S$2:$S$420,"&lt;&gt;")+COUNTIFS(Bus_Terminals!$G$2:$G$420,$A10,Bus_Terminals!$S$2:$S$420,"&lt;&gt;")</f>
        <v>0</v>
      </c>
      <c r="J10" s="6" t="n">
        <v>46297</v>
      </c>
      <c r="K10" s="4" t="s">
        <v>12</v>
      </c>
    </row>
    <row r="11" customFormat="false" ht="15" hidden="false" customHeight="false" outlineLevel="0" collapsed="false">
      <c r="A11" s="4" t="s">
        <v>707</v>
      </c>
      <c r="B11" s="4" t="n">
        <f aca="false">COUNTIFS(Cities!$D$2:$D$380,$A11,Cities!$H$2:$H$380,"Y")+COUNTIFS(Cities!$E$2:$E$380,$A11,Cities!$H$2:$H$380,"Y")</f>
        <v>2</v>
      </c>
      <c r="C11" s="4" t="n">
        <f aca="false">COUNTIF(Bus_Terminals!$F$2:$F$420,$A11)+COUNTIF(Bus_Terminals!$G$2:$G$420,$A11)</f>
        <v>15</v>
      </c>
      <c r="D11" s="4" t="n">
        <f aca="false">COUNTIFS(Bus_Terminals!$F$2:$F$420,$A11,Bus_Terminals!$M$2:$M$420,"Y")+COUNTIFS(Bus_Terminals!$G$2:$G$420,$A11,Bus_Terminals!$M$2:$M$420,"Y")</f>
        <v>3</v>
      </c>
      <c r="E11" s="4" t="n">
        <f aca="false">COUNTIF(Bus_Routes!$E$2:$E$18,$A11)</f>
        <v>0</v>
      </c>
      <c r="F11" s="4" t="n">
        <f aca="false">COUNTIF(Interstate_Routes!$B$2:$B$10,$A11)</f>
        <v>0</v>
      </c>
      <c r="G11" s="4" t="n">
        <f aca="false">COUNTIF(Bus_Operators!$D$2:$D$39,$A11)</f>
        <v>1</v>
      </c>
      <c r="H11" s="4" t="str">
        <f aca="false">IF(C11=0,"No terminal records",IF(COUNTIFS(Bus_Terminals!$F$2:$F$420,$A11,Bus_Terminals!$U$2:$U$420,"Partially Verified")+COUNTIFS(Bus_Terminals!$G$2:$G$420,$A11,Bus_Terminals!$U$2:$U$420,"Partially Verified")&gt;0,"Partial - some records sourced","Candidate only - needs verification"))</f>
        <v>Candidate only - needs verification</v>
      </c>
      <c r="I11" s="4" t="n">
        <f aca="false">COUNTIFS(Bus_Terminals!$F$2:$F$420,$A11,Bus_Terminals!$S$2:$S$420,"&lt;&gt;")+COUNTIFS(Bus_Terminals!$G$2:$G$420,$A11,Bus_Terminals!$S$2:$S$420,"&lt;&gt;")</f>
        <v>0</v>
      </c>
      <c r="J11" s="6" t="n">
        <v>46297</v>
      </c>
      <c r="K11" s="4" t="s">
        <v>12</v>
      </c>
    </row>
    <row r="12" customFormat="false" ht="15" hidden="false" customHeight="false" outlineLevel="0" collapsed="false">
      <c r="A12" s="4" t="s">
        <v>770</v>
      </c>
      <c r="B12" s="4" t="n">
        <f aca="false">COUNTIFS(Cities!$D$2:$D$380,$A12,Cities!$H$2:$H$380,"Y")+COUNTIFS(Cities!$E$2:$E$380,$A12,Cities!$H$2:$H$380,"Y")</f>
        <v>3</v>
      </c>
      <c r="C12" s="4" t="n">
        <f aca="false">COUNTIF(Bus_Terminals!$F$2:$F$420,$A12)+COUNTIF(Bus_Terminals!$G$2:$G$420,$A12)</f>
        <v>10</v>
      </c>
      <c r="D12" s="4" t="n">
        <f aca="false">COUNTIFS(Bus_Terminals!$F$2:$F$420,$A12,Bus_Terminals!$M$2:$M$420,"Y")+COUNTIFS(Bus_Terminals!$G$2:$G$420,$A12,Bus_Terminals!$M$2:$M$420,"Y")</f>
        <v>4</v>
      </c>
      <c r="E12" s="4" t="n">
        <f aca="false">COUNTIF(Bus_Routes!$E$2:$E$18,$A12)</f>
        <v>0</v>
      </c>
      <c r="F12" s="4" t="n">
        <f aca="false">COUNTIF(Interstate_Routes!$B$2:$B$10,$A12)</f>
        <v>0</v>
      </c>
      <c r="G12" s="4" t="n">
        <f aca="false">COUNTIF(Bus_Operators!$D$2:$D$39,$A12)</f>
        <v>1</v>
      </c>
      <c r="H12" s="4" t="str">
        <f aca="false">IF(C12=0,"No terminal records",IF(COUNTIFS(Bus_Terminals!$F$2:$F$420,$A12,Bus_Terminals!$U$2:$U$420,"Partially Verified")+COUNTIFS(Bus_Terminals!$G$2:$G$420,$A12,Bus_Terminals!$U$2:$U$420,"Partially Verified")&gt;0,"Partial - some records sourced","Candidate only - needs verification"))</f>
        <v>Candidate only - needs verification</v>
      </c>
      <c r="I12" s="4" t="n">
        <f aca="false">COUNTIFS(Bus_Terminals!$F$2:$F$420,$A12,Bus_Terminals!$S$2:$S$420,"&lt;&gt;")+COUNTIFS(Bus_Terminals!$G$2:$G$420,$A12,Bus_Terminals!$S$2:$S$420,"&lt;&gt;")</f>
        <v>0</v>
      </c>
      <c r="J12" s="6" t="n">
        <v>46297</v>
      </c>
      <c r="K12" s="4" t="s">
        <v>12</v>
      </c>
    </row>
    <row r="13" customFormat="false" ht="15" hidden="false" customHeight="false" outlineLevel="0" collapsed="false">
      <c r="A13" s="4" t="s">
        <v>815</v>
      </c>
      <c r="B13" s="4" t="n">
        <f aca="false">COUNTIFS(Cities!$D$2:$D$380,$A13,Cities!$H$2:$H$380,"Y")+COUNTIFS(Cities!$E$2:$E$380,$A13,Cities!$H$2:$H$380,"Y")</f>
        <v>4</v>
      </c>
      <c r="C13" s="4" t="n">
        <f aca="false">COUNTIF(Bus_Terminals!$F$2:$F$420,$A13)+COUNTIF(Bus_Terminals!$G$2:$G$420,$A13)</f>
        <v>18</v>
      </c>
      <c r="D13" s="4" t="n">
        <f aca="false">COUNTIFS(Bus_Terminals!$F$2:$F$420,$A13,Bus_Terminals!$M$2:$M$420,"Y")+COUNTIFS(Bus_Terminals!$G$2:$G$420,$A13,Bus_Terminals!$M$2:$M$420,"Y")</f>
        <v>5</v>
      </c>
      <c r="E13" s="4" t="n">
        <f aca="false">COUNTIF(Bus_Routes!$E$2:$E$18,$A13)</f>
        <v>0</v>
      </c>
      <c r="F13" s="4" t="n">
        <f aca="false">COUNTIF(Interstate_Routes!$B$2:$B$10,$A13)</f>
        <v>0</v>
      </c>
      <c r="G13" s="4" t="n">
        <f aca="false">COUNTIF(Bus_Operators!$D$2:$D$39,$A13)</f>
        <v>4</v>
      </c>
      <c r="H13" s="4" t="str">
        <f aca="false">IF(C13=0,"No terminal records",IF(COUNTIFS(Bus_Terminals!$F$2:$F$420,$A13,Bus_Terminals!$U$2:$U$420,"Partially Verified")+COUNTIFS(Bus_Terminals!$G$2:$G$420,$A13,Bus_Terminals!$U$2:$U$420,"Partially Verified")&gt;0,"Partial - some records sourced","Candidate only - needs verification"))</f>
        <v>Candidate only - needs verification</v>
      </c>
      <c r="I13" s="4" t="n">
        <f aca="false">COUNTIFS(Bus_Terminals!$F$2:$F$420,$A13,Bus_Terminals!$S$2:$S$420,"&lt;&gt;")+COUNTIFS(Bus_Terminals!$G$2:$G$420,$A13,Bus_Terminals!$S$2:$S$420,"&lt;&gt;")</f>
        <v>0</v>
      </c>
      <c r="J13" s="6" t="n">
        <v>46297</v>
      </c>
      <c r="K13" s="4" t="s">
        <v>12</v>
      </c>
    </row>
    <row r="14" customFormat="false" ht="15" hidden="false" customHeight="false" outlineLevel="0" collapsed="false">
      <c r="A14" s="4" t="s">
        <v>900</v>
      </c>
      <c r="B14" s="4" t="n">
        <f aca="false">COUNTIFS(Cities!$D$2:$D$380,$A14,Cities!$H$2:$H$380,"Y")+COUNTIFS(Cities!$E$2:$E$380,$A14,Cities!$H$2:$H$380,"Y")</f>
        <v>4</v>
      </c>
      <c r="C14" s="4" t="n">
        <f aca="false">COUNTIF(Bus_Terminals!$F$2:$F$420,$A14)+COUNTIF(Bus_Terminals!$G$2:$G$420,$A14)</f>
        <v>14</v>
      </c>
      <c r="D14" s="4" t="n">
        <f aca="false">COUNTIFS(Bus_Terminals!$F$2:$F$420,$A14,Bus_Terminals!$M$2:$M$420,"Y")+COUNTIFS(Bus_Terminals!$G$2:$G$420,$A14,Bus_Terminals!$M$2:$M$420,"Y")</f>
        <v>5</v>
      </c>
      <c r="E14" s="4" t="n">
        <f aca="false">COUNTIF(Bus_Routes!$E$2:$E$18,$A14)</f>
        <v>0</v>
      </c>
      <c r="F14" s="4" t="n">
        <f aca="false">COUNTIF(Interstate_Routes!$B$2:$B$10,$A14)</f>
        <v>0</v>
      </c>
      <c r="G14" s="4" t="n">
        <f aca="false">COUNTIF(Bus_Operators!$D$2:$D$39,$A14)</f>
        <v>1</v>
      </c>
      <c r="H14" s="4" t="str">
        <f aca="false">IF(C14=0,"No terminal records",IF(COUNTIFS(Bus_Terminals!$F$2:$F$420,$A14,Bus_Terminals!$U$2:$U$420,"Partially Verified")+COUNTIFS(Bus_Terminals!$G$2:$G$420,$A14,Bus_Terminals!$U$2:$U$420,"Partially Verified")&gt;0,"Partial - some records sourced","Candidate only - needs verification"))</f>
        <v>Candidate only - needs verification</v>
      </c>
      <c r="I14" s="4" t="n">
        <f aca="false">COUNTIFS(Bus_Terminals!$F$2:$F$420,$A14,Bus_Terminals!$S$2:$S$420,"&lt;&gt;")+COUNTIFS(Bus_Terminals!$G$2:$G$420,$A14,Bus_Terminals!$S$2:$S$420,"&lt;&gt;")</f>
        <v>0</v>
      </c>
      <c r="J14" s="6" t="n">
        <v>46297</v>
      </c>
      <c r="K14" s="4" t="s">
        <v>12</v>
      </c>
    </row>
    <row r="15" customFormat="false" ht="15" hidden="false" customHeight="false" outlineLevel="0" collapsed="false">
      <c r="A15" s="4" t="s">
        <v>964</v>
      </c>
      <c r="B15" s="4" t="n">
        <f aca="false">COUNTIFS(Cities!$D$2:$D$380,$A15,Cities!$H$2:$H$380,"Y")+COUNTIFS(Cities!$E$2:$E$380,$A15,Cities!$H$2:$H$380,"Y")</f>
        <v>4</v>
      </c>
      <c r="C15" s="4" t="n">
        <f aca="false">COUNTIF(Bus_Terminals!$F$2:$F$420,$A15)+COUNTIF(Bus_Terminals!$G$2:$G$420,$A15)</f>
        <v>13</v>
      </c>
      <c r="D15" s="4" t="n">
        <f aca="false">COUNTIFS(Bus_Terminals!$F$2:$F$420,$A15,Bus_Terminals!$M$2:$M$420,"Y")+COUNTIFS(Bus_Terminals!$G$2:$G$420,$A15,Bus_Terminals!$M$2:$M$420,"Y")</f>
        <v>5</v>
      </c>
      <c r="E15" s="4" t="n">
        <f aca="false">COUNTIF(Bus_Routes!$E$2:$E$18,$A15)</f>
        <v>0</v>
      </c>
      <c r="F15" s="4" t="n">
        <f aca="false">COUNTIF(Interstate_Routes!$B$2:$B$10,$A15)</f>
        <v>0</v>
      </c>
      <c r="G15" s="4" t="n">
        <f aca="false">COUNTIF(Bus_Operators!$D$2:$D$39,$A15)</f>
        <v>0</v>
      </c>
      <c r="H15" s="4" t="str">
        <f aca="false">IF(C15=0,"No terminal records",IF(COUNTIFS(Bus_Terminals!$F$2:$F$420,$A15,Bus_Terminals!$U$2:$U$420,"Partially Verified")+COUNTIFS(Bus_Terminals!$G$2:$G$420,$A15,Bus_Terminals!$U$2:$U$420,"Partially Verified")&gt;0,"Partial - some records sourced","Candidate only - needs verification"))</f>
        <v>Candidate only - needs verification</v>
      </c>
      <c r="I15" s="4" t="n">
        <f aca="false">COUNTIFS(Bus_Terminals!$F$2:$F$420,$A15,Bus_Terminals!$S$2:$S$420,"&lt;&gt;")+COUNTIFS(Bus_Terminals!$G$2:$G$420,$A15,Bus_Terminals!$S$2:$S$420,"&lt;&gt;")</f>
        <v>0</v>
      </c>
      <c r="J15" s="6" t="n">
        <v>46297</v>
      </c>
      <c r="K15" s="4" t="s">
        <v>12</v>
      </c>
    </row>
    <row r="16" customFormat="false" ht="15" hidden="false" customHeight="false" outlineLevel="0" collapsed="false">
      <c r="A16" s="4" t="s">
        <v>1023</v>
      </c>
      <c r="B16" s="4" t="n">
        <f aca="false">COUNTIFS(Cities!$D$2:$D$380,$A16,Cities!$H$2:$H$380,"Y")+COUNTIFS(Cities!$E$2:$E$380,$A16,Cities!$H$2:$H$380,"Y")</f>
        <v>6</v>
      </c>
      <c r="C16" s="4" t="n">
        <f aca="false">COUNTIF(Bus_Terminals!$F$2:$F$420,$A16)+COUNTIF(Bus_Terminals!$G$2:$G$420,$A16)</f>
        <v>21</v>
      </c>
      <c r="D16" s="4" t="n">
        <f aca="false">COUNTIFS(Bus_Terminals!$F$2:$F$420,$A16,Bus_Terminals!$M$2:$M$420,"Y")+COUNTIFS(Bus_Terminals!$G$2:$G$420,$A16,Bus_Terminals!$M$2:$M$420,"Y")</f>
        <v>7</v>
      </c>
      <c r="E16" s="4" t="n">
        <f aca="false">COUNTIF(Bus_Routes!$E$2:$E$18,$A16)</f>
        <v>0</v>
      </c>
      <c r="F16" s="4" t="n">
        <f aca="false">COUNTIF(Interstate_Routes!$B$2:$B$10,$A16)</f>
        <v>0</v>
      </c>
      <c r="G16" s="4" t="n">
        <f aca="false">COUNTIF(Bus_Operators!$D$2:$D$39,$A16)</f>
        <v>1</v>
      </c>
      <c r="H16" s="4" t="str">
        <f aca="false">IF(C16=0,"No terminal records",IF(COUNTIFS(Bus_Terminals!$F$2:$F$420,$A16,Bus_Terminals!$U$2:$U$420,"Partially Verified")+COUNTIFS(Bus_Terminals!$G$2:$G$420,$A16,Bus_Terminals!$U$2:$U$420,"Partially Verified")&gt;0,"Partial - some records sourced","Candidate only - needs verification"))</f>
        <v>Candidate only - needs verification</v>
      </c>
      <c r="I16" s="4" t="n">
        <f aca="false">COUNTIFS(Bus_Terminals!$F$2:$F$420,$A16,Bus_Terminals!$S$2:$S$420,"&lt;&gt;")+COUNTIFS(Bus_Terminals!$G$2:$G$420,$A16,Bus_Terminals!$S$2:$S$420,"&lt;&gt;")</f>
        <v>0</v>
      </c>
      <c r="J16" s="6" t="n">
        <v>46297</v>
      </c>
      <c r="K16" s="4" t="s">
        <v>12</v>
      </c>
    </row>
    <row r="17" customFormat="false" ht="15" hidden="false" customHeight="false" outlineLevel="0" collapsed="false">
      <c r="A17" s="4" t="s">
        <v>1115</v>
      </c>
      <c r="B17" s="4" t="n">
        <f aca="false">COUNTIFS(Cities!$D$2:$D$380,$A17,Cities!$H$2:$H$380,"Y")+COUNTIFS(Cities!$E$2:$E$380,$A17,Cities!$H$2:$H$380,"Y")</f>
        <v>1</v>
      </c>
      <c r="C17" s="4" t="n">
        <f aca="false">COUNTIF(Bus_Terminals!$F$2:$F$420,$A17)+COUNTIF(Bus_Terminals!$G$2:$G$420,$A17)</f>
        <v>6</v>
      </c>
      <c r="D17" s="4" t="n">
        <f aca="false">COUNTIFS(Bus_Terminals!$F$2:$F$420,$A17,Bus_Terminals!$M$2:$M$420,"Y")+COUNTIFS(Bus_Terminals!$G$2:$G$420,$A17,Bus_Terminals!$M$2:$M$420,"Y")</f>
        <v>1</v>
      </c>
      <c r="E17" s="4" t="n">
        <f aca="false">COUNTIF(Bus_Routes!$E$2:$E$18,$A17)</f>
        <v>0</v>
      </c>
      <c r="F17" s="4" t="n">
        <f aca="false">COUNTIF(Interstate_Routes!$B$2:$B$10,$A17)</f>
        <v>0</v>
      </c>
      <c r="G17" s="4" t="n">
        <f aca="false">COUNTIF(Bus_Operators!$D$2:$D$39,$A17)</f>
        <v>1</v>
      </c>
      <c r="H17" s="4" t="str">
        <f aca="false">IF(C17=0,"No terminal records",IF(COUNTIFS(Bus_Terminals!$F$2:$F$420,$A17,Bus_Terminals!$U$2:$U$420,"Partially Verified")+COUNTIFS(Bus_Terminals!$G$2:$G$420,$A17,Bus_Terminals!$U$2:$U$420,"Partially Verified")&gt;0,"Partial - some records sourced","Candidate only - needs verification"))</f>
        <v>Candidate only - needs verification</v>
      </c>
      <c r="I17" s="4" t="n">
        <f aca="false">COUNTIFS(Bus_Terminals!$F$2:$F$420,$A17,Bus_Terminals!$S$2:$S$420,"&lt;&gt;")+COUNTIFS(Bus_Terminals!$G$2:$G$420,$A17,Bus_Terminals!$S$2:$S$420,"&lt;&gt;")</f>
        <v>0</v>
      </c>
      <c r="J17" s="6" t="n">
        <v>46297</v>
      </c>
      <c r="K17" s="4" t="s">
        <v>12</v>
      </c>
    </row>
    <row r="18" customFormat="false" ht="15" hidden="false" customHeight="false" outlineLevel="0" collapsed="false">
      <c r="A18" s="4" t="s">
        <v>1140</v>
      </c>
      <c r="B18" s="4" t="n">
        <f aca="false">COUNTIFS(Cities!$D$2:$D$380,$A18,Cities!$H$2:$H$380,"Y")+COUNTIFS(Cities!$E$2:$E$380,$A18,Cities!$H$2:$H$380,"Y")</f>
        <v>1</v>
      </c>
      <c r="C18" s="4" t="n">
        <f aca="false">COUNTIF(Bus_Terminals!$F$2:$F$420,$A18)+COUNTIF(Bus_Terminals!$G$2:$G$420,$A18)</f>
        <v>6</v>
      </c>
      <c r="D18" s="4" t="n">
        <f aca="false">COUNTIFS(Bus_Terminals!$F$2:$F$420,$A18,Bus_Terminals!$M$2:$M$420,"Y")+COUNTIFS(Bus_Terminals!$G$2:$G$420,$A18,Bus_Terminals!$M$2:$M$420,"Y")</f>
        <v>2</v>
      </c>
      <c r="E18" s="4" t="n">
        <f aca="false">COUNTIF(Bus_Routes!$E$2:$E$18,$A18)</f>
        <v>0</v>
      </c>
      <c r="F18" s="4" t="n">
        <f aca="false">COUNTIF(Interstate_Routes!$B$2:$B$10,$A18)</f>
        <v>0</v>
      </c>
      <c r="G18" s="4" t="n">
        <f aca="false">COUNTIF(Bus_Operators!$D$2:$D$39,$A18)</f>
        <v>1</v>
      </c>
      <c r="H18" s="4" t="str">
        <f aca="false">IF(C18=0,"No terminal records",IF(COUNTIFS(Bus_Terminals!$F$2:$F$420,$A18,Bus_Terminals!$U$2:$U$420,"Partially Verified")+COUNTIFS(Bus_Terminals!$G$2:$G$420,$A18,Bus_Terminals!$U$2:$U$420,"Partially Verified")&gt;0,"Partial - some records sourced","Candidate only - needs verification"))</f>
        <v>Candidate only - needs verification</v>
      </c>
      <c r="I18" s="4" t="n">
        <f aca="false">COUNTIFS(Bus_Terminals!$F$2:$F$420,$A18,Bus_Terminals!$S$2:$S$420,"&lt;&gt;")+COUNTIFS(Bus_Terminals!$G$2:$G$420,$A18,Bus_Terminals!$S$2:$S$420,"&lt;&gt;")</f>
        <v>0</v>
      </c>
      <c r="J18" s="6" t="n">
        <v>46297</v>
      </c>
      <c r="K18" s="4" t="s">
        <v>12</v>
      </c>
    </row>
    <row r="19" customFormat="false" ht="15" hidden="false" customHeight="false" outlineLevel="0" collapsed="false">
      <c r="A19" s="4" t="s">
        <v>1167</v>
      </c>
      <c r="B19" s="4" t="n">
        <f aca="false">COUNTIFS(Cities!$D$2:$D$380,$A19,Cities!$H$2:$H$380,"Y")+COUNTIFS(Cities!$E$2:$E$380,$A19,Cities!$H$2:$H$380,"Y")</f>
        <v>1</v>
      </c>
      <c r="C19" s="4" t="n">
        <f aca="false">COUNTIF(Bus_Terminals!$F$2:$F$420,$A19)+COUNTIF(Bus_Terminals!$G$2:$G$420,$A19)</f>
        <v>5</v>
      </c>
      <c r="D19" s="4" t="n">
        <f aca="false">COUNTIFS(Bus_Terminals!$F$2:$F$420,$A19,Bus_Terminals!$M$2:$M$420,"Y")+COUNTIFS(Bus_Terminals!$G$2:$G$420,$A19,Bus_Terminals!$M$2:$M$420,"Y")</f>
        <v>1</v>
      </c>
      <c r="E19" s="4" t="n">
        <f aca="false">COUNTIF(Bus_Routes!$E$2:$E$18,$A19)</f>
        <v>0</v>
      </c>
      <c r="F19" s="4" t="n">
        <f aca="false">COUNTIF(Interstate_Routes!$B$2:$B$10,$A19)</f>
        <v>0</v>
      </c>
      <c r="G19" s="4" t="n">
        <f aca="false">COUNTIF(Bus_Operators!$D$2:$D$39,$A19)</f>
        <v>1</v>
      </c>
      <c r="H19" s="4" t="str">
        <f aca="false">IF(C19=0,"No terminal records",IF(COUNTIFS(Bus_Terminals!$F$2:$F$420,$A19,Bus_Terminals!$U$2:$U$420,"Partially Verified")+COUNTIFS(Bus_Terminals!$G$2:$G$420,$A19,Bus_Terminals!$U$2:$U$420,"Partially Verified")&gt;0,"Partial - some records sourced","Candidate only - needs verification"))</f>
        <v>Candidate only - needs verification</v>
      </c>
      <c r="I19" s="4" t="n">
        <f aca="false">COUNTIFS(Bus_Terminals!$F$2:$F$420,$A19,Bus_Terminals!$S$2:$S$420,"&lt;&gt;")+COUNTIFS(Bus_Terminals!$G$2:$G$420,$A19,Bus_Terminals!$S$2:$S$420,"&lt;&gt;")</f>
        <v>0</v>
      </c>
      <c r="J19" s="6" t="n">
        <v>46297</v>
      </c>
      <c r="K19" s="4" t="s">
        <v>12</v>
      </c>
    </row>
    <row r="20" customFormat="false" ht="15" hidden="false" customHeight="false" outlineLevel="0" collapsed="false">
      <c r="A20" s="4" t="s">
        <v>1189</v>
      </c>
      <c r="B20" s="4" t="n">
        <f aca="false">COUNTIFS(Cities!$D$2:$D$380,$A20,Cities!$H$2:$H$380,"Y")+COUNTIFS(Cities!$E$2:$E$380,$A20,Cities!$H$2:$H$380,"Y")</f>
        <v>2</v>
      </c>
      <c r="C20" s="4" t="n">
        <f aca="false">COUNTIF(Bus_Terminals!$F$2:$F$420,$A20)+COUNTIF(Bus_Terminals!$G$2:$G$420,$A20)</f>
        <v>7</v>
      </c>
      <c r="D20" s="4" t="n">
        <f aca="false">COUNTIFS(Bus_Terminals!$F$2:$F$420,$A20,Bus_Terminals!$M$2:$M$420,"Y")+COUNTIFS(Bus_Terminals!$G$2:$G$420,$A20,Bus_Terminals!$M$2:$M$420,"Y")</f>
        <v>2</v>
      </c>
      <c r="E20" s="4" t="n">
        <f aca="false">COUNTIF(Bus_Routes!$E$2:$E$18,$A20)</f>
        <v>0</v>
      </c>
      <c r="F20" s="4" t="n">
        <f aca="false">COUNTIF(Interstate_Routes!$B$2:$B$10,$A20)</f>
        <v>0</v>
      </c>
      <c r="G20" s="4" t="n">
        <f aca="false">COUNTIF(Bus_Operators!$D$2:$D$39,$A20)</f>
        <v>1</v>
      </c>
      <c r="H20" s="4" t="str">
        <f aca="false">IF(C20=0,"No terminal records",IF(COUNTIFS(Bus_Terminals!$F$2:$F$420,$A20,Bus_Terminals!$U$2:$U$420,"Partially Verified")+COUNTIFS(Bus_Terminals!$G$2:$G$420,$A20,Bus_Terminals!$U$2:$U$420,"Partially Verified")&gt;0,"Partial - some records sourced","Candidate only - needs verification"))</f>
        <v>Candidate only - needs verification</v>
      </c>
      <c r="I20" s="4" t="n">
        <f aca="false">COUNTIFS(Bus_Terminals!$F$2:$F$420,$A20,Bus_Terminals!$S$2:$S$420,"&lt;&gt;")+COUNTIFS(Bus_Terminals!$G$2:$G$420,$A20,Bus_Terminals!$S$2:$S$420,"&lt;&gt;")</f>
        <v>0</v>
      </c>
      <c r="J20" s="6" t="n">
        <v>46297</v>
      </c>
      <c r="K20" s="4" t="s">
        <v>12</v>
      </c>
    </row>
    <row r="21" customFormat="false" ht="15" hidden="false" customHeight="false" outlineLevel="0" collapsed="false">
      <c r="A21" s="4" t="s">
        <v>1220</v>
      </c>
      <c r="B21" s="4" t="n">
        <f aca="false">COUNTIFS(Cities!$D$2:$D$380,$A21,Cities!$H$2:$H$380,"Y")+COUNTIFS(Cities!$E$2:$E$380,$A21,Cities!$H$2:$H$380,"Y")</f>
        <v>2</v>
      </c>
      <c r="C21" s="4" t="n">
        <f aca="false">COUNTIF(Bus_Terminals!$F$2:$F$420,$A21)+COUNTIF(Bus_Terminals!$G$2:$G$420,$A21)</f>
        <v>15</v>
      </c>
      <c r="D21" s="4" t="n">
        <f aca="false">COUNTIFS(Bus_Terminals!$F$2:$F$420,$A21,Bus_Terminals!$M$2:$M$420,"Y")+COUNTIFS(Bus_Terminals!$G$2:$G$420,$A21,Bus_Terminals!$M$2:$M$420,"Y")</f>
        <v>6</v>
      </c>
      <c r="E21" s="4" t="n">
        <f aca="false">COUNTIF(Bus_Routes!$E$2:$E$18,$A21)</f>
        <v>0</v>
      </c>
      <c r="F21" s="4" t="n">
        <f aca="false">COUNTIF(Interstate_Routes!$B$2:$B$10,$A21)</f>
        <v>0</v>
      </c>
      <c r="G21" s="4" t="n">
        <f aca="false">COUNTIF(Bus_Operators!$D$2:$D$39,$A21)</f>
        <v>1</v>
      </c>
      <c r="H21" s="4" t="str">
        <f aca="false">IF(C21=0,"No terminal records",IF(COUNTIFS(Bus_Terminals!$F$2:$F$420,$A21,Bus_Terminals!$U$2:$U$420,"Partially Verified")+COUNTIFS(Bus_Terminals!$G$2:$G$420,$A21,Bus_Terminals!$U$2:$U$420,"Partially Verified")&gt;0,"Partial - some records sourced","Candidate only - needs verification"))</f>
        <v>Candidate only - needs verification</v>
      </c>
      <c r="I21" s="4" t="n">
        <f aca="false">COUNTIFS(Bus_Terminals!$F$2:$F$420,$A21,Bus_Terminals!$S$2:$S$420,"&lt;&gt;")+COUNTIFS(Bus_Terminals!$G$2:$G$420,$A21,Bus_Terminals!$S$2:$S$420,"&lt;&gt;")</f>
        <v>0</v>
      </c>
      <c r="J21" s="6" t="n">
        <v>46297</v>
      </c>
      <c r="K21" s="4" t="s">
        <v>12</v>
      </c>
    </row>
    <row r="22" customFormat="false" ht="15" hidden="false" customHeight="false" outlineLevel="0" collapsed="false">
      <c r="A22" s="4" t="s">
        <v>1286</v>
      </c>
      <c r="B22" s="4" t="n">
        <f aca="false">COUNTIFS(Cities!$D$2:$D$380,$A22,Cities!$H$2:$H$380,"Y")+COUNTIFS(Cities!$E$2:$E$380,$A22,Cities!$H$2:$H$380,"Y")</f>
        <v>4</v>
      </c>
      <c r="C22" s="4" t="n">
        <f aca="false">COUNTIF(Bus_Terminals!$F$2:$F$420,$A22)+COUNTIF(Bus_Terminals!$G$2:$G$420,$A22)</f>
        <v>16</v>
      </c>
      <c r="D22" s="4" t="n">
        <f aca="false">COUNTIFS(Bus_Terminals!$F$2:$F$420,$A22,Bus_Terminals!$M$2:$M$420,"Y")+COUNTIFS(Bus_Terminals!$G$2:$G$420,$A22,Bus_Terminals!$M$2:$M$420,"Y")</f>
        <v>4</v>
      </c>
      <c r="E22" s="4" t="n">
        <f aca="false">COUNTIF(Bus_Routes!$E$2:$E$18,$A22)</f>
        <v>0</v>
      </c>
      <c r="F22" s="4" t="n">
        <f aca="false">COUNTIF(Interstate_Routes!$B$2:$B$10,$A22)</f>
        <v>0</v>
      </c>
      <c r="G22" s="4" t="n">
        <f aca="false">COUNTIF(Bus_Operators!$D$2:$D$39,$A22)</f>
        <v>1</v>
      </c>
      <c r="H22" s="4" t="str">
        <f aca="false">IF(C22=0,"No terminal records",IF(COUNTIFS(Bus_Terminals!$F$2:$F$420,$A22,Bus_Terminals!$U$2:$U$420,"Partially Verified")+COUNTIFS(Bus_Terminals!$G$2:$G$420,$A22,Bus_Terminals!$U$2:$U$420,"Partially Verified")&gt;0,"Partial - some records sourced","Candidate only - needs verification"))</f>
        <v>Candidate only - needs verification</v>
      </c>
      <c r="I22" s="4" t="n">
        <f aca="false">COUNTIFS(Bus_Terminals!$F$2:$F$420,$A22,Bus_Terminals!$S$2:$S$420,"&lt;&gt;")+COUNTIFS(Bus_Terminals!$G$2:$G$420,$A22,Bus_Terminals!$S$2:$S$420,"&lt;&gt;")</f>
        <v>0</v>
      </c>
      <c r="J22" s="6" t="n">
        <v>46297</v>
      </c>
      <c r="K22" s="4" t="s">
        <v>12</v>
      </c>
    </row>
    <row r="23" customFormat="false" ht="15" hidden="false" customHeight="false" outlineLevel="0" collapsed="false">
      <c r="A23" s="4" t="s">
        <v>1354</v>
      </c>
      <c r="B23" s="4" t="n">
        <f aca="false">COUNTIFS(Cities!$D$2:$D$380,$A23,Cities!$H$2:$H$380,"Y")+COUNTIFS(Cities!$E$2:$E$380,$A23,Cities!$H$2:$H$380,"Y")</f>
        <v>4</v>
      </c>
      <c r="C23" s="4" t="n">
        <f aca="false">COUNTIF(Bus_Terminals!$F$2:$F$420,$A23)+COUNTIF(Bus_Terminals!$G$2:$G$420,$A23)</f>
        <v>17</v>
      </c>
      <c r="D23" s="4" t="n">
        <f aca="false">COUNTIFS(Bus_Terminals!$F$2:$F$420,$A23,Bus_Terminals!$M$2:$M$420,"Y")+COUNTIFS(Bus_Terminals!$G$2:$G$420,$A23,Bus_Terminals!$M$2:$M$420,"Y")</f>
        <v>6</v>
      </c>
      <c r="E23" s="4" t="n">
        <f aca="false">COUNTIF(Bus_Routes!$E$2:$E$18,$A23)</f>
        <v>0</v>
      </c>
      <c r="F23" s="4" t="n">
        <f aca="false">COUNTIF(Interstate_Routes!$B$2:$B$10,$A23)</f>
        <v>0</v>
      </c>
      <c r="G23" s="4" t="n">
        <f aca="false">COUNTIF(Bus_Operators!$D$2:$D$39,$A23)</f>
        <v>1</v>
      </c>
      <c r="H23" s="4" t="str">
        <f aca="false">IF(C23=0,"No terminal records",IF(COUNTIFS(Bus_Terminals!$F$2:$F$420,$A23,Bus_Terminals!$U$2:$U$420,"Partially Verified")+COUNTIFS(Bus_Terminals!$G$2:$G$420,$A23,Bus_Terminals!$U$2:$U$420,"Partially Verified")&gt;0,"Partial - some records sourced","Candidate only - needs verification"))</f>
        <v>Candidate only - needs verification</v>
      </c>
      <c r="I23" s="4" t="n">
        <f aca="false">COUNTIFS(Bus_Terminals!$F$2:$F$420,$A23,Bus_Terminals!$S$2:$S$420,"&lt;&gt;")+COUNTIFS(Bus_Terminals!$G$2:$G$420,$A23,Bus_Terminals!$S$2:$S$420,"&lt;&gt;")</f>
        <v>0</v>
      </c>
      <c r="J23" s="6" t="n">
        <v>46297</v>
      </c>
      <c r="K23" s="4" t="s">
        <v>12</v>
      </c>
    </row>
    <row r="24" customFormat="false" ht="15" hidden="false" customHeight="false" outlineLevel="0" collapsed="false">
      <c r="A24" s="4" t="s">
        <v>1428</v>
      </c>
      <c r="B24" s="4" t="n">
        <f aca="false">COUNTIFS(Cities!$D$2:$D$380,$A24,Cities!$H$2:$H$380,"Y")+COUNTIFS(Cities!$E$2:$E$380,$A24,Cities!$H$2:$H$380,"Y")</f>
        <v>1</v>
      </c>
      <c r="C24" s="4" t="n">
        <f aca="false">COUNTIF(Bus_Terminals!$F$2:$F$420,$A24)+COUNTIF(Bus_Terminals!$G$2:$G$420,$A24)</f>
        <v>5</v>
      </c>
      <c r="D24" s="4" t="n">
        <f aca="false">COUNTIFS(Bus_Terminals!$F$2:$F$420,$A24,Bus_Terminals!$M$2:$M$420,"Y")+COUNTIFS(Bus_Terminals!$G$2:$G$420,$A24,Bus_Terminals!$M$2:$M$420,"Y")</f>
        <v>1</v>
      </c>
      <c r="E24" s="4" t="n">
        <f aca="false">COUNTIF(Bus_Routes!$E$2:$E$18,$A24)</f>
        <v>0</v>
      </c>
      <c r="F24" s="4" t="n">
        <f aca="false">COUNTIF(Interstate_Routes!$B$2:$B$10,$A24)</f>
        <v>0</v>
      </c>
      <c r="G24" s="4" t="n">
        <f aca="false">COUNTIF(Bus_Operators!$D$2:$D$39,$A24)</f>
        <v>1</v>
      </c>
      <c r="H24" s="4" t="str">
        <f aca="false">IF(C24=0,"No terminal records",IF(COUNTIFS(Bus_Terminals!$F$2:$F$420,$A24,Bus_Terminals!$U$2:$U$420,"Partially Verified")+COUNTIFS(Bus_Terminals!$G$2:$G$420,$A24,Bus_Terminals!$U$2:$U$420,"Partially Verified")&gt;0,"Partial - some records sourced","Candidate only - needs verification"))</f>
        <v>Candidate only - needs verification</v>
      </c>
      <c r="I24" s="4" t="n">
        <f aca="false">COUNTIFS(Bus_Terminals!$F$2:$F$420,$A24,Bus_Terminals!$S$2:$S$420,"&lt;&gt;")+COUNTIFS(Bus_Terminals!$G$2:$G$420,$A24,Bus_Terminals!$S$2:$S$420,"&lt;&gt;")</f>
        <v>0</v>
      </c>
      <c r="J24" s="6" t="n">
        <v>46297</v>
      </c>
      <c r="K24" s="4" t="s">
        <v>12</v>
      </c>
    </row>
    <row r="25" customFormat="false" ht="15" hidden="false" customHeight="false" outlineLevel="0" collapsed="false">
      <c r="A25" s="4" t="s">
        <v>1451</v>
      </c>
      <c r="B25" s="4" t="n">
        <f aca="false">COUNTIFS(Cities!$D$2:$D$380,$A25,Cities!$H$2:$H$380,"Y")+COUNTIFS(Cities!$E$2:$E$380,$A25,Cities!$H$2:$H$380,"Y")</f>
        <v>5</v>
      </c>
      <c r="C25" s="4" t="n">
        <f aca="false">COUNTIF(Bus_Terminals!$F$2:$F$420,$A25)+COUNTIF(Bus_Terminals!$G$2:$G$420,$A25)</f>
        <v>24</v>
      </c>
      <c r="D25" s="4" t="n">
        <f aca="false">COUNTIFS(Bus_Terminals!$F$2:$F$420,$A25,Bus_Terminals!$M$2:$M$420,"Y")+COUNTIFS(Bus_Terminals!$G$2:$G$420,$A25,Bus_Terminals!$M$2:$M$420,"Y")</f>
        <v>7</v>
      </c>
      <c r="E25" s="4" t="n">
        <f aca="false">COUNTIF(Bus_Routes!$E$2:$E$18,$A25)</f>
        <v>0</v>
      </c>
      <c r="F25" s="4" t="n">
        <f aca="false">COUNTIF(Interstate_Routes!$B$2:$B$10,$A25)</f>
        <v>0</v>
      </c>
      <c r="G25" s="4" t="n">
        <f aca="false">COUNTIF(Bus_Operators!$D$2:$D$39,$A25)</f>
        <v>3</v>
      </c>
      <c r="H25" s="4" t="str">
        <f aca="false">IF(C25=0,"No terminal records",IF(COUNTIFS(Bus_Terminals!$F$2:$F$420,$A25,Bus_Terminals!$U$2:$U$420,"Partially Verified")+COUNTIFS(Bus_Terminals!$G$2:$G$420,$A25,Bus_Terminals!$U$2:$U$420,"Partially Verified")&gt;0,"Partial - some records sourced","Candidate only - needs verification"))</f>
        <v>Candidate only - needs verification</v>
      </c>
      <c r="I25" s="4" t="n">
        <f aca="false">COUNTIFS(Bus_Terminals!$F$2:$F$420,$A25,Bus_Terminals!$S$2:$S$420,"&lt;&gt;")+COUNTIFS(Bus_Terminals!$G$2:$G$420,$A25,Bus_Terminals!$S$2:$S$420,"&lt;&gt;")</f>
        <v>0</v>
      </c>
      <c r="J25" s="6" t="n">
        <v>46297</v>
      </c>
      <c r="K25" s="4" t="s">
        <v>12</v>
      </c>
    </row>
    <row r="26" customFormat="false" ht="15" hidden="false" customHeight="false" outlineLevel="0" collapsed="false">
      <c r="A26" s="4" t="s">
        <v>1552</v>
      </c>
      <c r="B26" s="4" t="n">
        <f aca="false">COUNTIFS(Cities!$D$2:$D$380,$A26,Cities!$H$2:$H$380,"Y")+COUNTIFS(Cities!$E$2:$E$380,$A26,Cities!$H$2:$H$380,"Y")</f>
        <v>2</v>
      </c>
      <c r="C26" s="4" t="n">
        <f aca="false">COUNTIF(Bus_Terminals!$F$2:$F$420,$A26)+COUNTIF(Bus_Terminals!$G$2:$G$420,$A26)</f>
        <v>10</v>
      </c>
      <c r="D26" s="4" t="n">
        <f aca="false">COUNTIFS(Bus_Terminals!$F$2:$F$420,$A26,Bus_Terminals!$M$2:$M$420,"Y")+COUNTIFS(Bus_Terminals!$G$2:$G$420,$A26,Bus_Terminals!$M$2:$M$420,"Y")</f>
        <v>3</v>
      </c>
      <c r="E26" s="4" t="n">
        <f aca="false">COUNTIF(Bus_Routes!$E$2:$E$18,$A26)</f>
        <v>0</v>
      </c>
      <c r="F26" s="4" t="n">
        <f aca="false">COUNTIF(Interstate_Routes!$B$2:$B$10,$A26)</f>
        <v>0</v>
      </c>
      <c r="G26" s="4" t="n">
        <f aca="false">COUNTIF(Bus_Operators!$D$2:$D$39,$A26)</f>
        <v>1</v>
      </c>
      <c r="H26" s="4" t="str">
        <f aca="false">IF(C26=0,"No terminal records",IF(COUNTIFS(Bus_Terminals!$F$2:$F$420,$A26,Bus_Terminals!$U$2:$U$420,"Partially Verified")+COUNTIFS(Bus_Terminals!$G$2:$G$420,$A26,Bus_Terminals!$U$2:$U$420,"Partially Verified")&gt;0,"Partial - some records sourced","Candidate only - needs verification"))</f>
        <v>Candidate only - needs verification</v>
      </c>
      <c r="I26" s="4" t="n">
        <f aca="false">COUNTIFS(Bus_Terminals!$F$2:$F$420,$A26,Bus_Terminals!$S$2:$S$420,"&lt;&gt;")+COUNTIFS(Bus_Terminals!$G$2:$G$420,$A26,Bus_Terminals!$S$2:$S$420,"&lt;&gt;")</f>
        <v>0</v>
      </c>
      <c r="J26" s="6" t="n">
        <v>46297</v>
      </c>
      <c r="K26" s="4" t="s">
        <v>12</v>
      </c>
    </row>
    <row r="27" customFormat="false" ht="15" hidden="false" customHeight="false" outlineLevel="0" collapsed="false">
      <c r="A27" s="4" t="s">
        <v>1595</v>
      </c>
      <c r="B27" s="4" t="n">
        <f aca="false">COUNTIFS(Cities!$D$2:$D$380,$A27,Cities!$H$2:$H$380,"Y")+COUNTIFS(Cities!$E$2:$E$380,$A27,Cities!$H$2:$H$380,"Y")</f>
        <v>2</v>
      </c>
      <c r="C27" s="4" t="n">
        <f aca="false">COUNTIF(Bus_Terminals!$F$2:$F$420,$A27)+COUNTIF(Bus_Terminals!$G$2:$G$420,$A27)</f>
        <v>7</v>
      </c>
      <c r="D27" s="4" t="n">
        <f aca="false">COUNTIFS(Bus_Terminals!$F$2:$F$420,$A27,Bus_Terminals!$M$2:$M$420,"Y")+COUNTIFS(Bus_Terminals!$G$2:$G$420,$A27,Bus_Terminals!$M$2:$M$420,"Y")</f>
        <v>1</v>
      </c>
      <c r="E27" s="4" t="n">
        <f aca="false">COUNTIF(Bus_Routes!$E$2:$E$18,$A27)</f>
        <v>0</v>
      </c>
      <c r="F27" s="4" t="n">
        <f aca="false">COUNTIF(Interstate_Routes!$B$2:$B$10,$A27)</f>
        <v>0</v>
      </c>
      <c r="G27" s="4" t="n">
        <f aca="false">COUNTIF(Bus_Operators!$D$2:$D$39,$A27)</f>
        <v>1</v>
      </c>
      <c r="H27" s="4" t="str">
        <f aca="false">IF(C27=0,"No terminal records",IF(COUNTIFS(Bus_Terminals!$F$2:$F$420,$A27,Bus_Terminals!$U$2:$U$420,"Partially Verified")+COUNTIFS(Bus_Terminals!$G$2:$G$420,$A27,Bus_Terminals!$U$2:$U$420,"Partially Verified")&gt;0,"Partial - some records sourced","Candidate only - needs verification"))</f>
        <v>Candidate only - needs verification</v>
      </c>
      <c r="I27" s="4" t="n">
        <f aca="false">COUNTIFS(Bus_Terminals!$F$2:$F$420,$A27,Bus_Terminals!$S$2:$S$420,"&lt;&gt;")+COUNTIFS(Bus_Terminals!$G$2:$G$420,$A27,Bus_Terminals!$S$2:$S$420,"&lt;&gt;")</f>
        <v>0</v>
      </c>
      <c r="J27" s="6" t="n">
        <v>46297</v>
      </c>
      <c r="K27" s="4" t="s">
        <v>12</v>
      </c>
    </row>
    <row r="28" customFormat="false" ht="15" hidden="false" customHeight="false" outlineLevel="0" collapsed="false">
      <c r="A28" s="4" t="s">
        <v>1624</v>
      </c>
      <c r="B28" s="4" t="n">
        <f aca="false">COUNTIFS(Cities!$D$2:$D$380,$A28,Cities!$H$2:$H$380,"Y")+COUNTIFS(Cities!$E$2:$E$380,$A28,Cities!$H$2:$H$380,"Y")</f>
        <v>8</v>
      </c>
      <c r="C28" s="4" t="n">
        <f aca="false">COUNTIF(Bus_Terminals!$F$2:$F$420,$A28)+COUNTIF(Bus_Terminals!$G$2:$G$420,$A28)</f>
        <v>20</v>
      </c>
      <c r="D28" s="4" t="n">
        <f aca="false">COUNTIFS(Bus_Terminals!$F$2:$F$420,$A28,Bus_Terminals!$M$2:$M$420,"Y")+COUNTIFS(Bus_Terminals!$G$2:$G$420,$A28,Bus_Terminals!$M$2:$M$420,"Y")</f>
        <v>6</v>
      </c>
      <c r="E28" s="4" t="n">
        <f aca="false">COUNTIF(Bus_Routes!$E$2:$E$18,$A28)</f>
        <v>0</v>
      </c>
      <c r="F28" s="4" t="n">
        <f aca="false">COUNTIF(Interstate_Routes!$B$2:$B$10,$A28)</f>
        <v>0</v>
      </c>
      <c r="G28" s="4" t="n">
        <f aca="false">COUNTIF(Bus_Operators!$D$2:$D$39,$A28)</f>
        <v>1</v>
      </c>
      <c r="H28" s="4" t="str">
        <f aca="false">IF(C28=0,"No terminal records",IF(COUNTIFS(Bus_Terminals!$F$2:$F$420,$A28,Bus_Terminals!$U$2:$U$420,"Partially Verified")+COUNTIFS(Bus_Terminals!$G$2:$G$420,$A28,Bus_Terminals!$U$2:$U$420,"Partially Verified")&gt;0,"Partial - some records sourced","Candidate only - needs verification"))</f>
        <v>Candidate only - needs verification</v>
      </c>
      <c r="I28" s="4" t="n">
        <f aca="false">COUNTIFS(Bus_Terminals!$F$2:$F$420,$A28,Bus_Terminals!$S$2:$S$420,"&lt;&gt;")+COUNTIFS(Bus_Terminals!$G$2:$G$420,$A28,Bus_Terminals!$S$2:$S$420,"&lt;&gt;")</f>
        <v>0</v>
      </c>
      <c r="J28" s="6" t="n">
        <v>46297</v>
      </c>
      <c r="K28" s="4" t="s">
        <v>12</v>
      </c>
    </row>
    <row r="29" customFormat="false" ht="15" hidden="false" customHeight="false" outlineLevel="0" collapsed="false">
      <c r="A29" s="4" t="s">
        <v>1713</v>
      </c>
      <c r="B29" s="4" t="n">
        <f aca="false">COUNTIFS(Cities!$D$2:$D$380,$A29,Cities!$H$2:$H$380,"Y")+COUNTIFS(Cities!$E$2:$E$380,$A29,Cities!$H$2:$H$380,"Y")</f>
        <v>2</v>
      </c>
      <c r="C29" s="4" t="n">
        <f aca="false">COUNTIF(Bus_Terminals!$F$2:$F$420,$A29)+COUNTIF(Bus_Terminals!$G$2:$G$420,$A29)</f>
        <v>11</v>
      </c>
      <c r="D29" s="4" t="n">
        <f aca="false">COUNTIFS(Bus_Terminals!$F$2:$F$420,$A29,Bus_Terminals!$M$2:$M$420,"Y")+COUNTIFS(Bus_Terminals!$G$2:$G$420,$A29,Bus_Terminals!$M$2:$M$420,"Y")</f>
        <v>3</v>
      </c>
      <c r="E29" s="4" t="n">
        <f aca="false">COUNTIF(Bus_Routes!$E$2:$E$18,$A29)</f>
        <v>0</v>
      </c>
      <c r="F29" s="4" t="n">
        <f aca="false">COUNTIF(Interstate_Routes!$B$2:$B$10,$A29)</f>
        <v>0</v>
      </c>
      <c r="G29" s="4" t="n">
        <f aca="false">COUNTIF(Bus_Operators!$D$2:$D$39,$A29)</f>
        <v>1</v>
      </c>
      <c r="H29" s="4" t="str">
        <f aca="false">IF(C29=0,"No terminal records",IF(COUNTIFS(Bus_Terminals!$F$2:$F$420,$A29,Bus_Terminals!$U$2:$U$420,"Partially Verified")+COUNTIFS(Bus_Terminals!$G$2:$G$420,$A29,Bus_Terminals!$U$2:$U$420,"Partially Verified")&gt;0,"Partial - some records sourced","Candidate only - needs verification"))</f>
        <v>Candidate only - needs verification</v>
      </c>
      <c r="I29" s="4" t="n">
        <f aca="false">COUNTIFS(Bus_Terminals!$F$2:$F$420,$A29,Bus_Terminals!$S$2:$S$420,"&lt;&gt;")+COUNTIFS(Bus_Terminals!$G$2:$G$420,$A29,Bus_Terminals!$S$2:$S$420,"&lt;&gt;")</f>
        <v>0</v>
      </c>
      <c r="J29" s="6" t="n">
        <v>46297</v>
      </c>
      <c r="K29" s="4" t="s">
        <v>12</v>
      </c>
    </row>
    <row r="30" customFormat="false" ht="15" hidden="false" customHeight="false" outlineLevel="0" collapsed="false">
      <c r="A30" s="4" t="s">
        <v>1760</v>
      </c>
      <c r="B30" s="4" t="n">
        <f aca="false">COUNTIFS(Cities!$D$2:$D$380,$A30,Cities!$H$2:$H$380,"Y")+COUNTIFS(Cities!$E$2:$E$380,$A30,Cities!$H$2:$H$380,"Y")</f>
        <v>1</v>
      </c>
      <c r="C30" s="4" t="n">
        <f aca="false">COUNTIF(Bus_Terminals!$F$2:$F$420,$A30)+COUNTIF(Bus_Terminals!$G$2:$G$420,$A30)</f>
        <v>4</v>
      </c>
      <c r="D30" s="4" t="n">
        <f aca="false">COUNTIFS(Bus_Terminals!$F$2:$F$420,$A30,Bus_Terminals!$M$2:$M$420,"Y")+COUNTIFS(Bus_Terminals!$G$2:$G$420,$A30,Bus_Terminals!$M$2:$M$420,"Y")</f>
        <v>1</v>
      </c>
      <c r="E30" s="4" t="n">
        <f aca="false">COUNTIF(Bus_Routes!$E$2:$E$18,$A30)</f>
        <v>0</v>
      </c>
      <c r="F30" s="4" t="n">
        <f aca="false">COUNTIF(Interstate_Routes!$B$2:$B$10,$A30)</f>
        <v>0</v>
      </c>
      <c r="G30" s="4" t="n">
        <f aca="false">COUNTIF(Bus_Operators!$D$2:$D$39,$A30)</f>
        <v>0</v>
      </c>
      <c r="H30" s="4" t="str">
        <f aca="false">IF(C30=0,"No terminal records",IF(COUNTIFS(Bus_Terminals!$F$2:$F$420,$A30,Bus_Terminals!$U$2:$U$420,"Partially Verified")+COUNTIFS(Bus_Terminals!$G$2:$G$420,$A30,Bus_Terminals!$U$2:$U$420,"Partially Verified")&gt;0,"Partial - some records sourced","Candidate only - needs verification"))</f>
        <v>Candidate only - needs verification</v>
      </c>
      <c r="I30" s="4" t="n">
        <f aca="false">COUNTIFS(Bus_Terminals!$F$2:$F$420,$A30,Bus_Terminals!$S$2:$S$420,"&lt;&gt;")+COUNTIFS(Bus_Terminals!$G$2:$G$420,$A30,Bus_Terminals!$S$2:$S$420,"&lt;&gt;")</f>
        <v>0</v>
      </c>
      <c r="J30" s="6" t="n">
        <v>46297</v>
      </c>
      <c r="K30" s="4" t="s">
        <v>2947</v>
      </c>
    </row>
    <row r="31" customFormat="false" ht="15" hidden="false" customHeight="false" outlineLevel="0" collapsed="false">
      <c r="A31" s="4" t="s">
        <v>1777</v>
      </c>
      <c r="B31" s="4" t="n">
        <f aca="false">COUNTIFS(Cities!$D$2:$D$380,$A31,Cities!$H$2:$H$380,"Y")+COUNTIFS(Cities!$E$2:$E$380,$A31,Cities!$H$2:$H$380,"Y")</f>
        <v>1</v>
      </c>
      <c r="C31" s="4" t="n">
        <f aca="false">COUNTIF(Bus_Terminals!$F$2:$F$420,$A31)+COUNTIF(Bus_Terminals!$G$2:$G$420,$A31)</f>
        <v>2</v>
      </c>
      <c r="D31" s="4" t="n">
        <f aca="false">COUNTIFS(Bus_Terminals!$F$2:$F$420,$A31,Bus_Terminals!$M$2:$M$420,"Y")+COUNTIFS(Bus_Terminals!$G$2:$G$420,$A31,Bus_Terminals!$M$2:$M$420,"Y")</f>
        <v>2</v>
      </c>
      <c r="E31" s="4" t="n">
        <f aca="false">COUNTIF(Bus_Routes!$E$2:$E$18,$A31)</f>
        <v>0</v>
      </c>
      <c r="F31" s="4" t="n">
        <f aca="false">COUNTIF(Interstate_Routes!$B$2:$B$10,$A31)</f>
        <v>0</v>
      </c>
      <c r="G31" s="4" t="n">
        <f aca="false">COUNTIF(Bus_Operators!$D$2:$D$39,$A31)</f>
        <v>1</v>
      </c>
      <c r="H31" s="4" t="str">
        <f aca="false">IF(C31=0,"No terminal records",IF(COUNTIFS(Bus_Terminals!$F$2:$F$420,$A31,Bus_Terminals!$U$2:$U$420,"Partially Verified")+COUNTIFS(Bus_Terminals!$G$2:$G$420,$A31,Bus_Terminals!$U$2:$U$420,"Partially Verified")&gt;0,"Partial - some records sourced","Candidate only - needs verification"))</f>
        <v>Candidate only - needs verification</v>
      </c>
      <c r="I31" s="4" t="n">
        <f aca="false">COUNTIFS(Bus_Terminals!$F$2:$F$420,$A31,Bus_Terminals!$S$2:$S$420,"&lt;&gt;")+COUNTIFS(Bus_Terminals!$G$2:$G$420,$A31,Bus_Terminals!$S$2:$S$420,"&lt;&gt;")</f>
        <v>0</v>
      </c>
      <c r="J31" s="6" t="n">
        <v>46297</v>
      </c>
      <c r="K31" s="4" t="s">
        <v>2947</v>
      </c>
    </row>
    <row r="32" customFormat="false" ht="15" hidden="false" customHeight="false" outlineLevel="0" collapsed="false">
      <c r="A32" s="4" t="s">
        <v>1787</v>
      </c>
      <c r="B32" s="4" t="n">
        <f aca="false">COUNTIFS(Cities!$D$2:$D$380,$A32,Cities!$H$2:$H$380,"Y")+COUNTIFS(Cities!$E$2:$E$380,$A32,Cities!$H$2:$H$380,"Y")</f>
        <v>2</v>
      </c>
      <c r="C32" s="4" t="n">
        <f aca="false">COUNTIF(Bus_Terminals!$F$2:$F$420,$A32)+COUNTIF(Bus_Terminals!$G$2:$G$420,$A32)</f>
        <v>3</v>
      </c>
      <c r="D32" s="4" t="n">
        <f aca="false">COUNTIFS(Bus_Terminals!$F$2:$F$420,$A32,Bus_Terminals!$M$2:$M$420,"Y")+COUNTIFS(Bus_Terminals!$G$2:$G$420,$A32,Bus_Terminals!$M$2:$M$420,"Y")</f>
        <v>0</v>
      </c>
      <c r="E32" s="4" t="n">
        <f aca="false">COUNTIF(Bus_Routes!$E$2:$E$18,$A32)</f>
        <v>0</v>
      </c>
      <c r="F32" s="4" t="n">
        <f aca="false">COUNTIF(Interstate_Routes!$B$2:$B$10,$A32)</f>
        <v>0</v>
      </c>
      <c r="G32" s="4" t="n">
        <f aca="false">COUNTIF(Bus_Operators!$D$2:$D$39,$A32)</f>
        <v>0</v>
      </c>
      <c r="H32" s="4" t="str">
        <f aca="false">IF(C32=0,"No terminal records",IF(COUNTIFS(Bus_Terminals!$F$2:$F$420,$A32,Bus_Terminals!$U$2:$U$420,"Partially Verified")+COUNTIFS(Bus_Terminals!$G$2:$G$420,$A32,Bus_Terminals!$U$2:$U$420,"Partially Verified")&gt;0,"Partial - some records sourced","Candidate only - needs verification"))</f>
        <v>Candidate only - needs verification</v>
      </c>
      <c r="I32" s="4" t="n">
        <f aca="false">COUNTIFS(Bus_Terminals!$F$2:$F$420,$A32,Bus_Terminals!$S$2:$S$420,"&lt;&gt;")+COUNTIFS(Bus_Terminals!$G$2:$G$420,$A32,Bus_Terminals!$S$2:$S$420,"&lt;&gt;")</f>
        <v>0</v>
      </c>
      <c r="J32" s="6" t="n">
        <v>46297</v>
      </c>
      <c r="K32" s="4" t="s">
        <v>2947</v>
      </c>
    </row>
    <row r="33" customFormat="false" ht="15" hidden="false" customHeight="false" outlineLevel="0" collapsed="false">
      <c r="A33" s="4" t="s">
        <v>1799</v>
      </c>
      <c r="B33" s="4" t="n">
        <f aca="false">COUNTIFS(Cities!$D$2:$D$380,$A33,Cities!$H$2:$H$380,"Y")+COUNTIFS(Cities!$E$2:$E$380,$A33,Cities!$H$2:$H$380,"Y")</f>
        <v>1</v>
      </c>
      <c r="C33" s="4" t="n">
        <f aca="false">COUNTIF(Bus_Terminals!$F$2:$F$420,$A33)+COUNTIF(Bus_Terminals!$G$2:$G$420,$A33)</f>
        <v>5</v>
      </c>
      <c r="D33" s="4" t="n">
        <f aca="false">COUNTIFS(Bus_Terminals!$F$2:$F$420,$A33,Bus_Terminals!$M$2:$M$420,"Y")+COUNTIFS(Bus_Terminals!$G$2:$G$420,$A33,Bus_Terminals!$M$2:$M$420,"Y")</f>
        <v>3</v>
      </c>
      <c r="E33" s="4" t="n">
        <f aca="false">COUNTIF(Bus_Routes!$E$2:$E$18,$A33)</f>
        <v>0</v>
      </c>
      <c r="F33" s="4" t="n">
        <f aca="false">COUNTIF(Interstate_Routes!$B$2:$B$10,$A33)</f>
        <v>0</v>
      </c>
      <c r="G33" s="4" t="n">
        <f aca="false">COUNTIF(Bus_Operators!$D$2:$D$39,$A33)</f>
        <v>1</v>
      </c>
      <c r="H33" s="4" t="str">
        <f aca="false">IF(C33=0,"No terminal records",IF(COUNTIFS(Bus_Terminals!$F$2:$F$420,$A33,Bus_Terminals!$U$2:$U$420,"Partially Verified")+COUNTIFS(Bus_Terminals!$G$2:$G$420,$A33,Bus_Terminals!$U$2:$U$420,"Partially Verified")&gt;0,"Partial - some records sourced","Candidate only - needs verification"))</f>
        <v>Partial - some records sourced</v>
      </c>
      <c r="I33" s="4" t="n">
        <f aca="false">COUNTIFS(Bus_Terminals!$F$2:$F$420,$A33,Bus_Terminals!$S$2:$S$420,"&lt;&gt;")+COUNTIFS(Bus_Terminals!$G$2:$G$420,$A33,Bus_Terminals!$S$2:$S$420,"&lt;&gt;")</f>
        <v>1</v>
      </c>
      <c r="J33" s="6" t="n">
        <v>46297</v>
      </c>
      <c r="K33" s="4" t="s">
        <v>2947</v>
      </c>
    </row>
    <row r="34" customFormat="false" ht="15" hidden="false" customHeight="false" outlineLevel="0" collapsed="false">
      <c r="A34" s="4" t="s">
        <v>1823</v>
      </c>
      <c r="B34" s="4" t="n">
        <f aca="false">COUNTIFS(Cities!$D$2:$D$380,$A34,Cities!$H$2:$H$380,"Y")+COUNTIFS(Cities!$E$2:$E$380,$A34,Cities!$H$2:$H$380,"Y")</f>
        <v>2</v>
      </c>
      <c r="C34" s="4" t="n">
        <f aca="false">COUNTIF(Bus_Terminals!$F$2:$F$420,$A34)+COUNTIF(Bus_Terminals!$G$2:$G$420,$A34)</f>
        <v>10</v>
      </c>
      <c r="D34" s="4" t="n">
        <f aca="false">COUNTIFS(Bus_Terminals!$F$2:$F$420,$A34,Bus_Terminals!$M$2:$M$420,"Y")+COUNTIFS(Bus_Terminals!$G$2:$G$420,$A34,Bus_Terminals!$M$2:$M$420,"Y")</f>
        <v>3</v>
      </c>
      <c r="E34" s="4" t="n">
        <f aca="false">COUNTIF(Bus_Routes!$E$2:$E$18,$A34)</f>
        <v>0</v>
      </c>
      <c r="F34" s="4" t="n">
        <f aca="false">COUNTIF(Interstate_Routes!$B$2:$B$10,$A34)</f>
        <v>0</v>
      </c>
      <c r="G34" s="4" t="n">
        <f aca="false">COUNTIF(Bus_Operators!$D$2:$D$39,$A34)</f>
        <v>1</v>
      </c>
      <c r="H34" s="4" t="str">
        <f aca="false">IF(C34=0,"No terminal records",IF(COUNTIFS(Bus_Terminals!$F$2:$F$420,$A34,Bus_Terminals!$U$2:$U$420,"Partially Verified")+COUNTIFS(Bus_Terminals!$G$2:$G$420,$A34,Bus_Terminals!$U$2:$U$420,"Partially Verified")&gt;0,"Partial - some records sourced","Candidate only - needs verification"))</f>
        <v>Candidate only - needs verification</v>
      </c>
      <c r="I34" s="4" t="n">
        <f aca="false">COUNTIFS(Bus_Terminals!$F$2:$F$420,$A34,Bus_Terminals!$S$2:$S$420,"&lt;&gt;")+COUNTIFS(Bus_Terminals!$G$2:$G$420,$A34,Bus_Terminals!$S$2:$S$420,"&lt;&gt;")</f>
        <v>0</v>
      </c>
      <c r="J34" s="6" t="n">
        <v>46297</v>
      </c>
      <c r="K34" s="4" t="s">
        <v>2947</v>
      </c>
    </row>
    <row r="35" customFormat="false" ht="15" hidden="false" customHeight="false" outlineLevel="0" collapsed="false">
      <c r="A35" s="4" t="s">
        <v>1867</v>
      </c>
      <c r="B35" s="4" t="n">
        <f aca="false">COUNTIFS(Cities!$D$2:$D$380,$A35,Cities!$H$2:$H$380,"Y")+COUNTIFS(Cities!$E$2:$E$380,$A35,Cities!$H$2:$H$380,"Y")</f>
        <v>1</v>
      </c>
      <c r="C35" s="4" t="n">
        <f aca="false">COUNTIF(Bus_Terminals!$F$2:$F$420,$A35)+COUNTIF(Bus_Terminals!$G$2:$G$420,$A35)</f>
        <v>2</v>
      </c>
      <c r="D35" s="4" t="n">
        <f aca="false">COUNTIFS(Bus_Terminals!$F$2:$F$420,$A35,Bus_Terminals!$M$2:$M$420,"Y")+COUNTIFS(Bus_Terminals!$G$2:$G$420,$A35,Bus_Terminals!$M$2:$M$420,"Y")</f>
        <v>1</v>
      </c>
      <c r="E35" s="4" t="n">
        <f aca="false">COUNTIF(Bus_Routes!$E$2:$E$18,$A35)</f>
        <v>0</v>
      </c>
      <c r="F35" s="4" t="n">
        <f aca="false">COUNTIF(Interstate_Routes!$B$2:$B$10,$A35)</f>
        <v>0</v>
      </c>
      <c r="G35" s="4" t="n">
        <f aca="false">COUNTIF(Bus_Operators!$D$2:$D$39,$A35)</f>
        <v>0</v>
      </c>
      <c r="H35" s="4" t="str">
        <f aca="false">IF(C35=0,"No terminal records",IF(COUNTIFS(Bus_Terminals!$F$2:$F$420,$A35,Bus_Terminals!$U$2:$U$420,"Partially Verified")+COUNTIFS(Bus_Terminals!$G$2:$G$420,$A35,Bus_Terminals!$U$2:$U$420,"Partially Verified")&gt;0,"Partial - some records sourced","Candidate only - needs verification"))</f>
        <v>Candidate only - needs verification</v>
      </c>
      <c r="I35" s="4" t="n">
        <f aca="false">COUNTIFS(Bus_Terminals!$F$2:$F$420,$A35,Bus_Terminals!$S$2:$S$420,"&lt;&gt;")+COUNTIFS(Bus_Terminals!$G$2:$G$420,$A35,Bus_Terminals!$S$2:$S$420,"&lt;&gt;")</f>
        <v>0</v>
      </c>
      <c r="J35" s="6" t="n">
        <v>46297</v>
      </c>
      <c r="K35" s="4" t="s">
        <v>2947</v>
      </c>
    </row>
    <row r="36" customFormat="false" ht="15" hidden="false" customHeight="false" outlineLevel="0" collapsed="false">
      <c r="A36" s="4" t="s">
        <v>2667</v>
      </c>
      <c r="B36" s="4" t="n">
        <f aca="false">COUNTIFS(Cities!$D$2:$D$380,$A36,Cities!$H$2:$H$380,"Y")+COUNTIFS(Cities!$E$2:$E$380,$A36,Cities!$H$2:$H$380,"Y")</f>
        <v>1</v>
      </c>
      <c r="C36" s="4" t="n">
        <f aca="false">COUNTIF(Bus_Terminals!$F$2:$F$420,$A36)+COUNTIF(Bus_Terminals!$G$2:$G$420,$A36)</f>
        <v>0</v>
      </c>
      <c r="D36" s="4" t="n">
        <f aca="false">COUNTIFS(Bus_Terminals!$F$2:$F$420,$A36,Bus_Terminals!$M$2:$M$420,"Y")+COUNTIFS(Bus_Terminals!$G$2:$G$420,$A36,Bus_Terminals!$M$2:$M$420,"Y")</f>
        <v>0</v>
      </c>
      <c r="E36" s="4" t="n">
        <f aca="false">COUNTIF(Bus_Routes!$E$2:$E$18,$A36)</f>
        <v>0</v>
      </c>
      <c r="F36" s="4" t="n">
        <f aca="false">COUNTIF(Interstate_Routes!$B$2:$B$10,$A36)</f>
        <v>0</v>
      </c>
      <c r="G36" s="4" t="n">
        <f aca="false">COUNTIF(Bus_Operators!$D$2:$D$39,$A36)</f>
        <v>0</v>
      </c>
      <c r="H36" s="4" t="str">
        <f aca="false">IF(C36=0,"No terminal records",IF(COUNTIFS(Bus_Terminals!$F$2:$F$420,$A36,Bus_Terminals!$U$2:$U$420,"Partially Verified")+COUNTIFS(Bus_Terminals!$G$2:$G$420,$A36,Bus_Terminals!$U$2:$U$420,"Partially Verified")&gt;0,"Partial - some records sourced","Candidate only - needs verification"))</f>
        <v>No terminal records</v>
      </c>
      <c r="I36" s="4" t="n">
        <f aca="false">COUNTIFS(Bus_Terminals!$F$2:$F$420,$A36,Bus_Terminals!$S$2:$S$420,"&lt;&gt;")+COUNTIFS(Bus_Terminals!$G$2:$G$420,$A36,Bus_Terminals!$S$2:$S$420,"&lt;&gt;")</f>
        <v>0</v>
      </c>
      <c r="J36" s="6" t="n">
        <v>46297</v>
      </c>
      <c r="K36" s="4" t="s">
        <v>2947</v>
      </c>
    </row>
    <row r="37" customFormat="false" ht="15" hidden="false" customHeight="false" outlineLevel="0" collapsed="false">
      <c r="A37" s="4" t="s">
        <v>1876</v>
      </c>
      <c r="B37" s="4" t="n">
        <f aca="false">COUNTIFS(Cities!$D$2:$D$380,$A37,Cities!$H$2:$H$380,"Y")+COUNTIFS(Cities!$E$2:$E$380,$A37,Cities!$H$2:$H$380,"Y")</f>
        <v>1</v>
      </c>
      <c r="C37" s="4" t="n">
        <f aca="false">COUNTIF(Bus_Terminals!$F$2:$F$420,$A37)+COUNTIF(Bus_Terminals!$G$2:$G$420,$A37)</f>
        <v>4</v>
      </c>
      <c r="D37" s="4" t="n">
        <f aca="false">COUNTIFS(Bus_Terminals!$F$2:$F$420,$A37,Bus_Terminals!$M$2:$M$420,"Y")+COUNTIFS(Bus_Terminals!$G$2:$G$420,$A37,Bus_Terminals!$M$2:$M$420,"Y")</f>
        <v>1</v>
      </c>
      <c r="E37" s="4" t="n">
        <f aca="false">COUNTIF(Bus_Routes!$E$2:$E$18,$A37)</f>
        <v>0</v>
      </c>
      <c r="F37" s="4" t="n">
        <f aca="false">COUNTIF(Interstate_Routes!$B$2:$B$10,$A37)</f>
        <v>0</v>
      </c>
      <c r="G37" s="4" t="n">
        <f aca="false">COUNTIF(Bus_Operators!$D$2:$D$39,$A37)</f>
        <v>1</v>
      </c>
      <c r="H37" s="4" t="str">
        <f aca="false">IF(C37=0,"No terminal records",IF(COUNTIFS(Bus_Terminals!$F$2:$F$420,$A37,Bus_Terminals!$U$2:$U$420,"Partially Verified")+COUNTIFS(Bus_Terminals!$G$2:$G$420,$A37,Bus_Terminals!$U$2:$U$420,"Partially Verified")&gt;0,"Partial - some records sourced","Candidate only - needs verification"))</f>
        <v>Candidate only - needs verification</v>
      </c>
      <c r="I37" s="4" t="n">
        <f aca="false">COUNTIFS(Bus_Terminals!$F$2:$F$420,$A37,Bus_Terminals!$S$2:$S$420,"&lt;&gt;")+COUNTIFS(Bus_Terminals!$G$2:$G$420,$A37,Bus_Terminals!$S$2:$S$420,"&lt;&gt;")</f>
        <v>0</v>
      </c>
      <c r="J37" s="6" t="n">
        <v>46297</v>
      </c>
      <c r="K37" s="4" t="s">
        <v>2947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30" hidden="false" customHeight="true" outlineLevel="0" collapsed="false">
      <c r="A1" s="3" t="s">
        <v>2948</v>
      </c>
      <c r="B1" s="3" t="s">
        <v>2949</v>
      </c>
      <c r="C1" s="3" t="s">
        <v>2950</v>
      </c>
    </row>
    <row r="2" customFormat="false" ht="15" hidden="false" customHeight="false" outlineLevel="0" collapsed="false">
      <c r="A2" s="4" t="s">
        <v>2951</v>
      </c>
      <c r="B2" s="4" t="n">
        <f aca="false">COUNTA(Bus_Terminals!$A$2:$A$420)</f>
        <v>419</v>
      </c>
      <c r="C2" s="4" t="s">
        <v>2952</v>
      </c>
    </row>
    <row r="3" customFormat="false" ht="15" hidden="false" customHeight="false" outlineLevel="0" collapsed="false">
      <c r="A3" s="4" t="s">
        <v>2953</v>
      </c>
      <c r="B3" s="4" t="n">
        <f aca="false">COUNTA(Cities!$A$2:$A$380)</f>
        <v>379</v>
      </c>
      <c r="C3" s="4"/>
    </row>
    <row r="4" customFormat="false" ht="15" hidden="false" customHeight="false" outlineLevel="0" collapsed="false">
      <c r="A4" s="4" t="s">
        <v>2954</v>
      </c>
      <c r="B4" s="4" t="n">
        <f aca="false">COUNTA(Bus_Routes!$A$2:$A$18)</f>
        <v>17</v>
      </c>
      <c r="C4" s="4"/>
    </row>
    <row r="5" customFormat="false" ht="15" hidden="false" customHeight="false" outlineLevel="0" collapsed="false">
      <c r="A5" s="4" t="s">
        <v>2955</v>
      </c>
      <c r="B5" s="4" t="n">
        <f aca="false">COUNTA(Interstate_Routes!$A$2:$A$10)</f>
        <v>9</v>
      </c>
      <c r="C5" s="4" t="s">
        <v>2956</v>
      </c>
    </row>
    <row r="6" customFormat="false" ht="15" hidden="false" customHeight="false" outlineLevel="0" collapsed="false">
      <c r="A6" s="4" t="s">
        <v>2957</v>
      </c>
      <c r="B6" s="4" t="n">
        <f aca="false">COUNTA(Bus_Operators!$A$2:$A$39)</f>
        <v>38</v>
      </c>
      <c r="C6" s="4"/>
    </row>
    <row r="7" customFormat="false" ht="15" hidden="false" customHeight="false" outlineLevel="0" collapsed="false">
      <c r="A7" s="4" t="s">
        <v>2958</v>
      </c>
      <c r="B7" s="4" t="n">
        <f aca="false">COUNTIF(State_Summary!$K$2:$K$37,"State")</f>
        <v>28</v>
      </c>
      <c r="C7" s="4" t="s">
        <v>2959</v>
      </c>
    </row>
    <row r="8" customFormat="false" ht="15" hidden="false" customHeight="false" outlineLevel="0" collapsed="false">
      <c r="A8" s="4" t="s">
        <v>2960</v>
      </c>
      <c r="B8" s="4" t="n">
        <f aca="false">COUNTIF(State_Summary!$K$2:$K$37,"Union Territory")</f>
        <v>8</v>
      </c>
      <c r="C8" s="4" t="s">
        <v>2961</v>
      </c>
    </row>
    <row r="9" customFormat="false" ht="15" hidden="false" customHeight="false" outlineLevel="0" collapsed="false">
      <c r="A9" s="4" t="s">
        <v>2962</v>
      </c>
      <c r="B9" s="4" t="n">
        <f aca="false">COUNTIF(State_Summary!$C$2:$C$37,"&gt;0")</f>
        <v>35</v>
      </c>
      <c r="C9" s="4" t="s">
        <v>2963</v>
      </c>
    </row>
    <row r="10" customFormat="false" ht="15" hidden="false" customHeight="false" outlineLevel="0" collapsed="false">
      <c r="A10" s="4" t="s">
        <v>2964</v>
      </c>
      <c r="B10" s="4" t="n">
        <f aca="false">SUMPRODUCT((COUNTIF(Bus_Terminals!$A$2:$A$420,Bus_Terminals!$A$2:$A$420)&gt;1)*1)</f>
        <v>0</v>
      </c>
      <c r="C10" s="4"/>
    </row>
    <row r="11" customFormat="false" ht="15" hidden="false" customHeight="false" outlineLevel="0" collapsed="false">
      <c r="A11" s="4" t="s">
        <v>2965</v>
      </c>
      <c r="B11" s="4" t="n">
        <f aca="false">SUMPRODUCT((COUNTIFS(Bus_Terminals!$B$2:$B$420,Bus_Terminals!$B$2:$B$420,Bus_Terminals!$D$2:$D$420,Bus_Terminals!$D$2:$D$420)&gt;1)*1)</f>
        <v>0</v>
      </c>
      <c r="C11" s="4" t="s">
        <v>2966</v>
      </c>
    </row>
    <row r="12" customFormat="false" ht="15" hidden="false" customHeight="false" outlineLevel="0" collapsed="false">
      <c r="A12" s="4" t="s">
        <v>2967</v>
      </c>
      <c r="B12" s="4" t="n">
        <f aca="false">SUMPRODUCT((COUNTIF(Bus_Routes!$A$2:$A$18,Bus_Routes!$A$2:$A$18)&gt;1)*1)</f>
        <v>0</v>
      </c>
      <c r="C12" s="4"/>
    </row>
    <row r="13" customFormat="false" ht="15" hidden="false" customHeight="false" outlineLevel="0" collapsed="false">
      <c r="A13" s="4" t="s">
        <v>2968</v>
      </c>
      <c r="B13" s="4" t="n">
        <f aca="false">SUMPRODUCT((COUNTIF(Cities!$A$2:$A$380,Cities!$A$2:$A$380)&gt;1)*1)</f>
        <v>0</v>
      </c>
      <c r="C13" s="4"/>
    </row>
    <row r="14" customFormat="false" ht="15" hidden="false" customHeight="false" outlineLevel="0" collapsed="false">
      <c r="A14" s="4" t="s">
        <v>2969</v>
      </c>
      <c r="B14" s="4" t="n">
        <f aca="false">COUNTBLANK(Bus_Terminals!$J$2:$J$420)</f>
        <v>419</v>
      </c>
      <c r="C14" s="4" t="s">
        <v>2970</v>
      </c>
    </row>
    <row r="15" customFormat="false" ht="15" hidden="false" customHeight="false" outlineLevel="0" collapsed="false">
      <c r="A15" s="4" t="s">
        <v>2971</v>
      </c>
      <c r="B15" s="4" t="n">
        <f aca="false">COUNTBLANK(Cities!$F$2:$F$380)</f>
        <v>379</v>
      </c>
      <c r="C15" s="4"/>
    </row>
    <row r="16" customFormat="false" ht="15" hidden="false" customHeight="false" outlineLevel="0" collapsed="false">
      <c r="A16" s="4" t="s">
        <v>2972</v>
      </c>
      <c r="B16" s="4" t="n">
        <f aca="false">COUNTBLANK(Bus_Terminals!$S$2:$S$420)</f>
        <v>408</v>
      </c>
      <c r="C16" s="4"/>
    </row>
    <row r="17" customFormat="false" ht="15" hidden="false" customHeight="false" outlineLevel="0" collapsed="false">
      <c r="A17" s="4" t="s">
        <v>2973</v>
      </c>
      <c r="B17" s="4" t="n">
        <f aca="false">COUNTIF(Bus_Terminals!$U$2:$U$420,"Needs Verification")</f>
        <v>408</v>
      </c>
      <c r="C17" s="4"/>
    </row>
    <row r="18" customFormat="false" ht="15" hidden="false" customHeight="false" outlineLevel="0" collapsed="false">
      <c r="A18" s="4" t="s">
        <v>2974</v>
      </c>
      <c r="B18" s="4" t="n">
        <f aca="false">COUNTIF(Bus_Terminals!$U$2:$U$420,"Partially Verified")</f>
        <v>11</v>
      </c>
      <c r="C18" s="4" t="s">
        <v>2975</v>
      </c>
    </row>
    <row r="19" customFormat="false" ht="15" hidden="false" customHeight="false" outlineLevel="0" collapsed="false">
      <c r="A19" s="4" t="s">
        <v>2976</v>
      </c>
      <c r="B19" s="4" t="n">
        <f aca="false">COUNTIF(Bus_Terminals!$U$2:$U$420,"Verified")</f>
        <v>0</v>
      </c>
      <c r="C19" s="4" t="s">
        <v>2977</v>
      </c>
    </row>
    <row r="20" customFormat="false" ht="15" hidden="false" customHeight="false" outlineLevel="0" collapsed="false">
      <c r="A20" s="4" t="s">
        <v>2978</v>
      </c>
      <c r="B20" s="4" t="n">
        <f aca="false">COUNTIF(Bus_Operators!$H$2:$H$39,"Needs Verification")</f>
        <v>35</v>
      </c>
      <c r="C20" s="4"/>
    </row>
    <row r="21" customFormat="false" ht="15" hidden="false" customHeight="false" outlineLevel="0" collapsed="false">
      <c r="A21" s="4" t="s">
        <v>2979</v>
      </c>
      <c r="B21" s="4" t="n">
        <f aca="false">COUNTIF(Bus_Terminals!$U$2:$U$420,"&lt;&gt;Verified")+COUNTIF(Bus_Routes!$U$2:$U$18,"&lt;&gt;Verified")+COUNTIF(Interstate_Routes!$Q$2:$Q$10,"&lt;&gt;Verified")+COUNTIF(Bus_Operators!$H$2:$H$39,"&lt;&gt;Verified")</f>
        <v>483</v>
      </c>
      <c r="C21" s="4" t="s">
        <v>2980</v>
      </c>
    </row>
    <row r="22" customFormat="false" ht="15" hidden="false" customHeight="false" outlineLevel="0" collapsed="false">
      <c r="A22" s="4" t="s">
        <v>2981</v>
      </c>
      <c r="B22" s="4" t="n">
        <f aca="false">SUMPRODUCT((COUNTIFS(Bus_Routes!$C$2:$C$18,Bus_Routes!$C$2:$C$18,Bus_Routes!$G$2:$G$18,Bus_Routes!$G$2:$G$18)&gt;1)*1)</f>
        <v>2</v>
      </c>
      <c r="C22" s="4" t="s">
        <v>2982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2026-10-01T21:39:06Z</dcterms:created>
  <dc:creator>openpyxl</dc:creator>
  <dc:description/>
  <dc:language>en-US</dc:language>
  <cp:lastModifiedBy/>
  <dcterms:modified xsi:type="dcterms:W3CDTF">2026-10-01T21:39:06Z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